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00156845-A0EA-4915-8A15-8502A4C37060}" xr6:coauthVersionLast="47" xr6:coauthVersionMax="47" xr10:uidLastSave="{00000000-0000-0000-0000-000000000000}"/>
  <bookViews>
    <workbookView xWindow="-108" yWindow="-108" windowWidth="23256" windowHeight="12456" tabRatio="679" activeTab="2" xr2:uid="{00000000-000D-0000-FFFF-FFFF00000000}"/>
  </bookViews>
  <sheets>
    <sheet name="Detail1" sheetId="1" r:id="rId1"/>
    <sheet name="Sheet2" sheetId="2" r:id="rId2"/>
    <sheet name="Dashboard" sheetId="3" r:id="rId3"/>
    <sheet name="Sheet1" sheetId="4" r:id="rId4"/>
  </sheets>
  <definedNames>
    <definedName name="NativeTimeline_Tanggal">#N/A</definedName>
    <definedName name="NativeTimeline_Tanggal1">#N/A</definedName>
    <definedName name="Slicer_Material">#N/A</definedName>
    <definedName name="Slicer_Material1">#N/A</definedName>
    <definedName name="Slicer_Sales">#N/A</definedName>
    <definedName name="Slicer_Sales1">#N/A</definedName>
    <definedName name="Slicer_Sumber_Material">#N/A</definedName>
    <definedName name="Slicer_Sumber_Material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3" l="1"/>
  <c r="C6" i="3"/>
  <c r="M6" i="3"/>
</calcChain>
</file>

<file path=xl/sharedStrings.xml><?xml version="1.0" encoding="utf-8"?>
<sst xmlns="http://schemas.openxmlformats.org/spreadsheetml/2006/main" count="1350" uniqueCount="39">
  <si>
    <t>DASHBOARD SALES MATERIAL ALAM</t>
  </si>
  <si>
    <t>TOTAL PEMBELIAN</t>
  </si>
  <si>
    <t xml:space="preserve">TOTAL PENJUALAN </t>
  </si>
  <si>
    <t>TOTAL LABA</t>
  </si>
  <si>
    <t>Details for Sum of Laba</t>
  </si>
  <si>
    <t>Tanggal</t>
  </si>
  <si>
    <t>Sales</t>
  </si>
  <si>
    <t>Sumber Material</t>
  </si>
  <si>
    <t>Material</t>
  </si>
  <si>
    <t>Volume</t>
  </si>
  <si>
    <t>Harga satuan pembelian</t>
  </si>
  <si>
    <t>Total pembelian</t>
  </si>
  <si>
    <t>Harga satuan penjualan</t>
  </si>
  <si>
    <t>Total Penjualan</t>
  </si>
  <si>
    <t>Laba</t>
  </si>
  <si>
    <t>anto</t>
  </si>
  <si>
    <t>Gunung Merapi</t>
  </si>
  <si>
    <t>Pasir</t>
  </si>
  <si>
    <t>Batu Kali</t>
  </si>
  <si>
    <t>Kerikil</t>
  </si>
  <si>
    <t>Tono</t>
  </si>
  <si>
    <t>Rudi</t>
  </si>
  <si>
    <t>Magelang</t>
  </si>
  <si>
    <t>Temanggung</t>
  </si>
  <si>
    <t>Sum of Total pembelian</t>
  </si>
  <si>
    <t>Sum of Total Penjualan</t>
  </si>
  <si>
    <t>Sum of Laba</t>
  </si>
  <si>
    <t>Row Labels</t>
  </si>
  <si>
    <t>Sum of Volume</t>
  </si>
  <si>
    <t>Grand Total</t>
  </si>
  <si>
    <t>Pembelian</t>
  </si>
  <si>
    <t>Penjualan</t>
  </si>
  <si>
    <t>Total Laba</t>
  </si>
  <si>
    <t>Mar</t>
  </si>
  <si>
    <t>Apr</t>
  </si>
  <si>
    <t>May</t>
  </si>
  <si>
    <t>Jun</t>
  </si>
  <si>
    <t>Jul</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</si>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</sst>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164" formatCode="_-[$Rp-3809]* #,##0.00_-;\-[$Rp-3809]* #,##0.00_-;_-[$Rp-3809]* &quot;-&quot;??_-;_-@_-"/>
    <numFmt numFmtId="165" formatCode="[$Rp-421]#,##0.00"/>
    <numFmt numFmtId="166" formatCode="&quot;$&quot;#,##0.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28"/>
      <color theme="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1" fontId="1" fillId="0" borderId="0"/>
  </cellStyleXfs>
  <cellXfs count="16">
    <xf numFmtId="0" fontId="0" fillId="0" borderId="0" xfId="0"/>
    <xf numFmtId="41" fontId="0" fillId="0" borderId="0" xfId="1" applyFont="1"/>
    <xf numFmtId="14" fontId="0" fillId="0" borderId="0" xfId="0" applyNumberFormat="1"/>
    <xf numFmtId="41" fontId="0" fillId="0" borderId="0" xfId="0" applyNumberFormat="1"/>
    <xf numFmtId="0" fontId="0" fillId="0" borderId="0" xfId="0" pivotButton="1"/>
    <xf numFmtId="0" fontId="0" fillId="0" borderId="0" xfId="0" applyAlignment="1">
      <alignment horizontal="center"/>
    </xf>
    <xf numFmtId="0" fontId="0" fillId="2" borderId="0" xfId="0" applyFill="1"/>
    <xf numFmtId="0" fontId="0" fillId="3" borderId="0" xfId="0" applyFill="1"/>
    <xf numFmtId="164" fontId="0" fillId="0" borderId="0" xfId="0" applyNumberFormat="1"/>
    <xf numFmtId="165" fontId="0" fillId="0" borderId="0" xfId="0" applyNumberFormat="1"/>
    <xf numFmtId="165" fontId="2" fillId="0" borderId="1" xfId="0" applyNumberFormat="1" applyFont="1" applyBorder="1" applyAlignment="1">
      <alignment horizontal="center"/>
    </xf>
    <xf numFmtId="0" fontId="2" fillId="0" borderId="0" xfId="0" applyFont="1"/>
    <xf numFmtId="0" fontId="2" fillId="4" borderId="1" xfId="0" applyFont="1" applyFill="1" applyBorder="1" applyAlignment="1">
      <alignment horizontal="center"/>
    </xf>
    <xf numFmtId="166" fontId="2" fillId="4" borderId="1" xfId="0" applyNumberFormat="1" applyFont="1" applyFill="1" applyBorder="1" applyAlignment="1">
      <alignment horizontal="center"/>
    </xf>
    <xf numFmtId="0" fontId="0" fillId="0" borderId="0" xfId="0" applyAlignment="1">
      <alignment horizontal="left"/>
    </xf>
    <xf numFmtId="0" fontId="3" fillId="0" borderId="0" xfId="0" applyFont="1" applyAlignment="1">
      <alignment horizontal="left" indent="45"/>
    </xf>
  </cellXfs>
  <cellStyles count="2">
    <cellStyle name="Comma [0]" xfId="1" builtinId="6"/>
    <cellStyle name="Normal" xfId="0" builtinId="0"/>
  </cellStyles>
  <dxfs count="9">
    <dxf>
      <font>
        <strike val="0"/>
        <condense val="0"/>
        <extend val="0"/>
        <outline val="0"/>
        <shadow val="0"/>
        <vertAlign val="baseline"/>
        <sz val="11"/>
        <color theme="1"/>
        <name val="Calibri"/>
        <family val="2"/>
        <scheme val="minor"/>
      </font>
    </dxf>
    <dxf>
      <font>
        <strike val="0"/>
        <condense val="0"/>
        <extend val="0"/>
        <outline val="0"/>
        <shadow val="0"/>
        <vertAlign val="baseline"/>
        <sz val="11"/>
        <color theme="1"/>
        <name val="Calibri"/>
        <family val="2"/>
        <scheme val="minor"/>
      </font>
    </dxf>
    <dxf>
      <font>
        <strike val="0"/>
        <condense val="0"/>
        <extend val="0"/>
        <outline val="0"/>
        <shadow val="0"/>
        <vertAlign val="baseline"/>
        <sz val="11"/>
        <color theme="1"/>
        <name val="Calibri"/>
        <family val="2"/>
        <scheme val="minor"/>
      </font>
    </dxf>
    <dxf>
      <font>
        <strike val="0"/>
        <condense val="0"/>
        <extend val="0"/>
        <outline val="0"/>
        <shadow val="0"/>
        <vertAlign val="baseline"/>
        <sz val="11"/>
        <color theme="1"/>
        <name val="Calibri"/>
        <family val="2"/>
        <scheme val="minor"/>
      </font>
    </dxf>
    <dxf>
      <font>
        <strike val="0"/>
        <condense val="0"/>
        <extend val="0"/>
        <outline val="0"/>
        <shadow val="0"/>
        <vertAlign val="baseline"/>
        <sz val="11"/>
        <color theme="1"/>
        <name val="Calibri"/>
        <family val="2"/>
        <scheme val="minor"/>
      </font>
    </dxf>
    <dxf>
      <font>
        <strike val="0"/>
        <condense val="0"/>
        <extend val="0"/>
        <outline val="0"/>
        <shadow val="0"/>
        <vertAlign val="baseline"/>
        <sz val="11"/>
        <color theme="1"/>
        <name val="Calibri"/>
        <family val="2"/>
        <scheme val="minor"/>
      </font>
    </dxf>
    <dxf>
      <numFmt numFmtId="19" formatCode="m/d/yyyy"/>
    </dxf>
    <dxf>
      <font>
        <strike val="0"/>
        <condense val="0"/>
        <extend val="0"/>
        <outline val="0"/>
        <shadow val="0"/>
        <vertAlign val="baseline"/>
        <sz val="11"/>
        <color theme="1"/>
        <name val="Calibri"/>
        <family val="2"/>
        <scheme val="minor"/>
      </font>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[Porto_DashBoard_Excel_Fixed.xlsx]Sheet2!PivotTable4</c:name>
    <c:fmtId val="0"/>
  </c:pivotSource>
  <c:chart>
    <c:title>
      <c:tx>
        <c:rich>
          <a:bodyPr/>
          <a:lstStyle/>
          <a:p>
            <a:r>
              <a:rPr lang="en-US"/>
              <a:t>Total Volume Material</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Sheet2!$B$12</c:f>
              <c:strCache>
                <c:ptCount val="1"/>
                <c:pt idx="0">
                  <c:v>Total</c:v>
                </c:pt>
              </c:strCache>
            </c:strRef>
          </c:tx>
          <c:spPr>
            <a:solidFill>
              <a:schemeClr val="accent1"/>
            </a:solidFill>
            <a:ln>
              <a:noFill/>
              <a:prstDash val="solid"/>
            </a:ln>
          </c:spPr>
          <c:invertIfNegative val="0"/>
          <c:cat>
            <c:strRef>
              <c:f>Sheet2!$A$13:$A$16</c:f>
              <c:strCache>
                <c:ptCount val="3"/>
                <c:pt idx="0">
                  <c:v>Batu Kali</c:v>
                </c:pt>
                <c:pt idx="1">
                  <c:v>Kerikil</c:v>
                </c:pt>
                <c:pt idx="2">
                  <c:v>Pasir</c:v>
                </c:pt>
              </c:strCache>
            </c:strRef>
          </c:cat>
          <c:val>
            <c:numRef>
              <c:f>Sheet2!$B$13:$B$16</c:f>
              <c:numCache>
                <c:formatCode>_(* #,##0_);_(* \(#,##0\);_(* "-"_);_(@_)</c:formatCode>
                <c:ptCount val="3"/>
                <c:pt idx="0">
                  <c:v>8410</c:v>
                </c:pt>
                <c:pt idx="1">
                  <c:v>3220</c:v>
                </c:pt>
                <c:pt idx="2">
                  <c:v>3360</c:v>
                </c:pt>
              </c:numCache>
            </c:numRef>
          </c:val>
          <c:extLst>
            <c:ext xmlns:c16="http://schemas.microsoft.com/office/drawing/2014/chart" uri="{C3380CC4-5D6E-409C-BE32-E72D297353CC}">
              <c16:uniqueId val="{00000000-CD6D-40CE-BC6C-3D8307CFD434}"/>
            </c:ext>
          </c:extLst>
        </c:ser>
        <c:dLbls>
          <c:showLegendKey val="0"/>
          <c:showVal val="0"/>
          <c:showCatName val="0"/>
          <c:showSerName val="0"/>
          <c:showPercent val="0"/>
          <c:showBubbleSize val="0"/>
        </c:dLbls>
        <c:gapWidth val="219"/>
        <c:overlap val="-27"/>
        <c:axId val="1939665519"/>
        <c:axId val="1931005359"/>
      </c:barChart>
      <c:catAx>
        <c:axId val="193966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31005359"/>
        <c:crosses val="autoZero"/>
        <c:auto val="1"/>
        <c:lblAlgn val="ctr"/>
        <c:lblOffset val="100"/>
        <c:noMultiLvlLbl val="0"/>
      </c:catAx>
      <c:valAx>
        <c:axId val="1931005359"/>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_);_(* \(#,##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39665519"/>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[Porto_DashBoard_Excel_Fixed.xlsx]Sheet2!PivotTable5</c:name>
    <c:fmtId val="6"/>
  </c:pivotSource>
  <c:chart>
    <c:autoTitleDeleted val="1"/>
    <c:pivotFmts>
      <c:pivotFmt>
        <c:idx val="0"/>
        <c:spPr>
          <a:solidFill>
            <a:schemeClr val="accent3"/>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2"/>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Sheet2!$B$25:$B$26</c:f>
              <c:strCache>
                <c:ptCount val="1"/>
                <c:pt idx="0">
                  <c:v>Pembelian</c:v>
                </c:pt>
              </c:strCache>
            </c:strRef>
          </c:tx>
          <c:spPr>
            <a:solidFill>
              <a:schemeClr val="accent1"/>
            </a:solidFill>
            <a:ln>
              <a:noFill/>
              <a:prstDash val="solid"/>
            </a:ln>
          </c:spPr>
          <c:invertIfNegative val="0"/>
          <c:cat>
            <c:strRef>
              <c:f>Sheet2!$A$27:$A$30</c:f>
              <c:strCache>
                <c:ptCount val="3"/>
                <c:pt idx="0">
                  <c:v>anto</c:v>
                </c:pt>
                <c:pt idx="1">
                  <c:v>Rudi</c:v>
                </c:pt>
                <c:pt idx="2">
                  <c:v>Tono</c:v>
                </c:pt>
              </c:strCache>
            </c:strRef>
          </c:cat>
          <c:val>
            <c:numRef>
              <c:f>Sheet2!$B$27:$B$30</c:f>
              <c:numCache>
                <c:formatCode>_(* #,##0_);_(* \(#,##0\);_(* "-"_);_(@_)</c:formatCode>
                <c:ptCount val="3"/>
                <c:pt idx="0">
                  <c:v>1024250000</c:v>
                </c:pt>
                <c:pt idx="1">
                  <c:v>932900000</c:v>
                </c:pt>
                <c:pt idx="2">
                  <c:v>176700000</c:v>
                </c:pt>
              </c:numCache>
            </c:numRef>
          </c:val>
          <c:extLst>
            <c:ext xmlns:c16="http://schemas.microsoft.com/office/drawing/2014/chart" uri="{C3380CC4-5D6E-409C-BE32-E72D297353CC}">
              <c16:uniqueId val="{00000000-57B0-486B-8985-966B9D96B8C6}"/>
            </c:ext>
          </c:extLst>
        </c:ser>
        <c:ser>
          <c:idx val="1"/>
          <c:order val="1"/>
          <c:tx>
            <c:strRef>
              <c:f>Sheet2!$C$25:$C$26</c:f>
              <c:strCache>
                <c:ptCount val="1"/>
                <c:pt idx="0">
                  <c:v>Penjualan</c:v>
                </c:pt>
              </c:strCache>
            </c:strRef>
          </c:tx>
          <c:spPr>
            <a:solidFill>
              <a:schemeClr val="accent2"/>
            </a:solidFill>
            <a:ln>
              <a:noFill/>
              <a:prstDash val="solid"/>
            </a:ln>
          </c:spPr>
          <c:invertIfNegative val="0"/>
          <c:cat>
            <c:strRef>
              <c:f>Sheet2!$A$27:$A$30</c:f>
              <c:strCache>
                <c:ptCount val="3"/>
                <c:pt idx="0">
                  <c:v>anto</c:v>
                </c:pt>
                <c:pt idx="1">
                  <c:v>Rudi</c:v>
                </c:pt>
                <c:pt idx="2">
                  <c:v>Tono</c:v>
                </c:pt>
              </c:strCache>
            </c:strRef>
          </c:cat>
          <c:val>
            <c:numRef>
              <c:f>Sheet2!$C$27:$C$30</c:f>
              <c:numCache>
                <c:formatCode>_(* #,##0_);_(* \(#,##0\);_(* "-"_);_(@_)</c:formatCode>
                <c:ptCount val="3"/>
                <c:pt idx="0">
                  <c:v>1482000000</c:v>
                </c:pt>
                <c:pt idx="1">
                  <c:v>1484550000</c:v>
                </c:pt>
                <c:pt idx="2">
                  <c:v>231750000</c:v>
                </c:pt>
              </c:numCache>
            </c:numRef>
          </c:val>
          <c:extLst>
            <c:ext xmlns:c16="http://schemas.microsoft.com/office/drawing/2014/chart" uri="{C3380CC4-5D6E-409C-BE32-E72D297353CC}">
              <c16:uniqueId val="{00000001-57B0-486B-8985-966B9D96B8C6}"/>
            </c:ext>
          </c:extLst>
        </c:ser>
        <c:ser>
          <c:idx val="2"/>
          <c:order val="2"/>
          <c:tx>
            <c:strRef>
              <c:f>Sheet2!$D$25:$D$26</c:f>
              <c:strCache>
                <c:ptCount val="1"/>
                <c:pt idx="0">
                  <c:v>Total Laba</c:v>
                </c:pt>
              </c:strCache>
            </c:strRef>
          </c:tx>
          <c:spPr>
            <a:solidFill>
              <a:schemeClr val="accent3"/>
            </a:solidFill>
            <a:ln>
              <a:noFill/>
              <a:prstDash val="solid"/>
            </a:ln>
          </c:spPr>
          <c:invertIfNegative val="0"/>
          <c:cat>
            <c:strRef>
              <c:f>Sheet2!$A$27:$A$30</c:f>
              <c:strCache>
                <c:ptCount val="3"/>
                <c:pt idx="0">
                  <c:v>anto</c:v>
                </c:pt>
                <c:pt idx="1">
                  <c:v>Rudi</c:v>
                </c:pt>
                <c:pt idx="2">
                  <c:v>Tono</c:v>
                </c:pt>
              </c:strCache>
            </c:strRef>
          </c:cat>
          <c:val>
            <c:numRef>
              <c:f>Sheet2!$D$27:$D$30</c:f>
              <c:numCache>
                <c:formatCode>_(* #,##0_);_(* \(#,##0\);_(* "-"_);_(@_)</c:formatCode>
                <c:ptCount val="3"/>
                <c:pt idx="0">
                  <c:v>457750000</c:v>
                </c:pt>
                <c:pt idx="1">
                  <c:v>551650000</c:v>
                </c:pt>
                <c:pt idx="2">
                  <c:v>55050000</c:v>
                </c:pt>
              </c:numCache>
            </c:numRef>
          </c:val>
          <c:extLst>
            <c:ext xmlns:c16="http://schemas.microsoft.com/office/drawing/2014/chart" uri="{C3380CC4-5D6E-409C-BE32-E72D297353CC}">
              <c16:uniqueId val="{00000002-57B0-486B-8985-966B9D96B8C6}"/>
            </c:ext>
          </c:extLst>
        </c:ser>
        <c:dLbls>
          <c:showLegendKey val="0"/>
          <c:showVal val="0"/>
          <c:showCatName val="0"/>
          <c:showSerName val="0"/>
          <c:showPercent val="0"/>
          <c:showBubbleSize val="0"/>
        </c:dLbls>
        <c:gapWidth val="219"/>
        <c:overlap val="-27"/>
        <c:axId val="119790863"/>
        <c:axId val="78827503"/>
      </c:barChart>
      <c:catAx>
        <c:axId val="11979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8827503"/>
        <c:crosses val="autoZero"/>
        <c:auto val="1"/>
        <c:lblAlgn val="ctr"/>
        <c:lblOffset val="100"/>
        <c:noMultiLvlLbl val="0"/>
      </c:catAx>
      <c:valAx>
        <c:axId val="78827503"/>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_);_(* \(#,##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1979086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[Porto_DashBoard_Excel_Fixed.xlsx]Sheet2!PivotTable6</c:name>
    <c:fmtId val="15"/>
  </c:pivotSource>
  <c:chart>
    <c:autoTitleDeleted val="1"/>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2"/>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3"/>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Sheet2!$B$41:$B$42</c:f>
              <c:strCache>
                <c:ptCount val="1"/>
                <c:pt idx="0">
                  <c:v>Pembelian</c:v>
                </c:pt>
              </c:strCache>
            </c:strRef>
          </c:tx>
          <c:spPr>
            <a:solidFill>
              <a:schemeClr val="accent1"/>
            </a:solidFill>
            <a:ln>
              <a:noFill/>
              <a:prstDash val="solid"/>
            </a:ln>
          </c:spPr>
          <c:invertIfNegative val="0"/>
          <c:cat>
            <c:strRef>
              <c:f>Sheet2!$A$43:$A$46</c:f>
              <c:strCache>
                <c:ptCount val="3"/>
                <c:pt idx="0">
                  <c:v>Batu Kali</c:v>
                </c:pt>
                <c:pt idx="1">
                  <c:v>Kerikil</c:v>
                </c:pt>
                <c:pt idx="2">
                  <c:v>Pasir</c:v>
                </c:pt>
              </c:strCache>
            </c:strRef>
          </c:cat>
          <c:val>
            <c:numRef>
              <c:f>Sheet2!$B$43:$B$46</c:f>
              <c:numCache>
                <c:formatCode>_(* #,##0_);_(* \(#,##0\);_(* "-"_);_(@_)</c:formatCode>
                <c:ptCount val="3"/>
                <c:pt idx="0">
                  <c:v>1140450000</c:v>
                </c:pt>
                <c:pt idx="1">
                  <c:v>479400000</c:v>
                </c:pt>
                <c:pt idx="2">
                  <c:v>514000000</c:v>
                </c:pt>
              </c:numCache>
            </c:numRef>
          </c:val>
          <c:extLst>
            <c:ext xmlns:c16="http://schemas.microsoft.com/office/drawing/2014/chart" uri="{C3380CC4-5D6E-409C-BE32-E72D297353CC}">
              <c16:uniqueId val="{00000000-6135-4E70-83FC-AA4B17540660}"/>
            </c:ext>
          </c:extLst>
        </c:ser>
        <c:ser>
          <c:idx val="1"/>
          <c:order val="1"/>
          <c:tx>
            <c:strRef>
              <c:f>Sheet2!$C$41:$C$42</c:f>
              <c:strCache>
                <c:ptCount val="1"/>
                <c:pt idx="0">
                  <c:v>Penjualan</c:v>
                </c:pt>
              </c:strCache>
            </c:strRef>
          </c:tx>
          <c:spPr>
            <a:solidFill>
              <a:schemeClr val="accent2"/>
            </a:solidFill>
            <a:ln>
              <a:noFill/>
              <a:prstDash val="solid"/>
            </a:ln>
          </c:spPr>
          <c:invertIfNegative val="0"/>
          <c:cat>
            <c:strRef>
              <c:f>Sheet2!$A$43:$A$46</c:f>
              <c:strCache>
                <c:ptCount val="3"/>
                <c:pt idx="0">
                  <c:v>Batu Kali</c:v>
                </c:pt>
                <c:pt idx="1">
                  <c:v>Kerikil</c:v>
                </c:pt>
                <c:pt idx="2">
                  <c:v>Pasir</c:v>
                </c:pt>
              </c:strCache>
            </c:strRef>
          </c:cat>
          <c:val>
            <c:numRef>
              <c:f>Sheet2!$C$43:$C$46</c:f>
              <c:numCache>
                <c:formatCode>_(* #,##0_);_(* \(#,##0\);_(* "-"_);_(@_)</c:formatCode>
                <c:ptCount val="3"/>
                <c:pt idx="0">
                  <c:v>1766100000</c:v>
                </c:pt>
                <c:pt idx="1">
                  <c:v>676200000</c:v>
                </c:pt>
                <c:pt idx="2">
                  <c:v>756000000</c:v>
                </c:pt>
              </c:numCache>
            </c:numRef>
          </c:val>
          <c:extLst>
            <c:ext xmlns:c16="http://schemas.microsoft.com/office/drawing/2014/chart" uri="{C3380CC4-5D6E-409C-BE32-E72D297353CC}">
              <c16:uniqueId val="{00000001-6135-4E70-83FC-AA4B17540660}"/>
            </c:ext>
          </c:extLst>
        </c:ser>
        <c:ser>
          <c:idx val="2"/>
          <c:order val="2"/>
          <c:tx>
            <c:strRef>
              <c:f>Sheet2!$D$41:$D$42</c:f>
              <c:strCache>
                <c:ptCount val="1"/>
                <c:pt idx="0">
                  <c:v>Total Laba</c:v>
                </c:pt>
              </c:strCache>
            </c:strRef>
          </c:tx>
          <c:spPr>
            <a:solidFill>
              <a:schemeClr val="accent3"/>
            </a:solidFill>
            <a:ln>
              <a:noFill/>
              <a:prstDash val="solid"/>
            </a:ln>
          </c:spPr>
          <c:invertIfNegative val="0"/>
          <c:cat>
            <c:strRef>
              <c:f>Sheet2!$A$43:$A$46</c:f>
              <c:strCache>
                <c:ptCount val="3"/>
                <c:pt idx="0">
                  <c:v>Batu Kali</c:v>
                </c:pt>
                <c:pt idx="1">
                  <c:v>Kerikil</c:v>
                </c:pt>
                <c:pt idx="2">
                  <c:v>Pasir</c:v>
                </c:pt>
              </c:strCache>
            </c:strRef>
          </c:cat>
          <c:val>
            <c:numRef>
              <c:f>Sheet2!$D$43:$D$46</c:f>
              <c:numCache>
                <c:formatCode>_(* #,##0_);_(* \(#,##0\);_(* "-"_);_(@_)</c:formatCode>
                <c:ptCount val="3"/>
                <c:pt idx="0">
                  <c:v>625650000</c:v>
                </c:pt>
                <c:pt idx="1">
                  <c:v>196800000</c:v>
                </c:pt>
                <c:pt idx="2">
                  <c:v>242000000</c:v>
                </c:pt>
              </c:numCache>
            </c:numRef>
          </c:val>
          <c:extLst>
            <c:ext xmlns:c16="http://schemas.microsoft.com/office/drawing/2014/chart" uri="{C3380CC4-5D6E-409C-BE32-E72D297353CC}">
              <c16:uniqueId val="{00000002-6135-4E70-83FC-AA4B17540660}"/>
            </c:ext>
          </c:extLst>
        </c:ser>
        <c:dLbls>
          <c:showLegendKey val="0"/>
          <c:showVal val="0"/>
          <c:showCatName val="0"/>
          <c:showSerName val="0"/>
          <c:showPercent val="0"/>
          <c:showBubbleSize val="0"/>
        </c:dLbls>
        <c:gapWidth val="219"/>
        <c:overlap val="-27"/>
        <c:axId val="119788543"/>
        <c:axId val="78843343"/>
      </c:barChart>
      <c:catAx>
        <c:axId val="11978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8843343"/>
        <c:crosses val="autoZero"/>
        <c:auto val="1"/>
        <c:lblAlgn val="ctr"/>
        <c:lblOffset val="100"/>
        <c:noMultiLvlLbl val="0"/>
      </c:catAx>
      <c:valAx>
        <c:axId val="78843343"/>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_);_(* \(#,##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1978854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[Porto_DashBoard_Excel_Fixed.xlsx]Sheet2!PivotTable7</c:name>
    <c:fmtId val="23"/>
  </c:pivotSource>
  <c:chart>
    <c:title>
      <c:tx>
        <c:rich>
          <a:bodyPr/>
          <a:lstStyle/>
          <a:p>
            <a:r>
              <a:rPr lang="en-US"/>
              <a:t>Total Laba Perbulan</a:t>
            </a:r>
          </a:p>
        </c:rich>
      </c:tx>
      <c:overlay val="0"/>
      <c:spPr>
        <a:noFill/>
        <a:ln>
          <a:noFill/>
          <a:prstDash val="solid"/>
        </a:ln>
      </c:spPr>
    </c:title>
    <c:autoTitleDeleted val="0"/>
    <c:pivotFmts>
      <c:pivotFmt>
        <c:idx val="0"/>
        <c:spPr>
          <a:ln w="28575" cap="rnd">
            <a:solidFill>
              <a:schemeClr val="accent1"/>
            </a:solidFill>
            <a:prstDash val="solid"/>
            <a:round/>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Sheet2!$B$49</c:f>
              <c:strCache>
                <c:ptCount val="1"/>
                <c:pt idx="0">
                  <c:v>Total</c:v>
                </c:pt>
              </c:strCache>
            </c:strRef>
          </c:tx>
          <c:spPr>
            <a:ln w="28575" cap="rnd">
              <a:solidFill>
                <a:schemeClr val="accent1"/>
              </a:solidFill>
              <a:prstDash val="solid"/>
              <a:round/>
            </a:ln>
          </c:spPr>
          <c:marker>
            <c:symbol val="none"/>
          </c:marker>
          <c:cat>
            <c:strRef>
              <c:f>Sheet2!$A$50:$A$55</c:f>
              <c:strCache>
                <c:ptCount val="5"/>
                <c:pt idx="0">
                  <c:v>Mar</c:v>
                </c:pt>
                <c:pt idx="1">
                  <c:v>Apr</c:v>
                </c:pt>
                <c:pt idx="2">
                  <c:v>May</c:v>
                </c:pt>
                <c:pt idx="3">
                  <c:v>Jun</c:v>
                </c:pt>
                <c:pt idx="4">
                  <c:v>Jul</c:v>
                </c:pt>
              </c:strCache>
            </c:strRef>
          </c:cat>
          <c:val>
            <c:numRef>
              <c:f>Sheet2!$B$50:$B$55</c:f>
              <c:numCache>
                <c:formatCode>_(* #,##0_);_(* \(#,##0\);_(* "-"_);_(@_)</c:formatCode>
                <c:ptCount val="5"/>
                <c:pt idx="0">
                  <c:v>118250000</c:v>
                </c:pt>
                <c:pt idx="1">
                  <c:v>132950000</c:v>
                </c:pt>
                <c:pt idx="2">
                  <c:v>120400000</c:v>
                </c:pt>
                <c:pt idx="3">
                  <c:v>148750000</c:v>
                </c:pt>
                <c:pt idx="4">
                  <c:v>544100000</c:v>
                </c:pt>
              </c:numCache>
            </c:numRef>
          </c:val>
          <c:smooth val="0"/>
          <c:extLst>
            <c:ext xmlns:c16="http://schemas.microsoft.com/office/drawing/2014/chart" uri="{C3380CC4-5D6E-409C-BE32-E72D297353CC}">
              <c16:uniqueId val="{00000000-BCC0-4166-8522-8338E8F1D3F0}"/>
            </c:ext>
          </c:extLst>
        </c:ser>
        <c:dLbls>
          <c:showLegendKey val="0"/>
          <c:showVal val="0"/>
          <c:showCatName val="0"/>
          <c:showSerName val="0"/>
          <c:showPercent val="0"/>
          <c:showBubbleSize val="0"/>
        </c:dLbls>
        <c:smooth val="0"/>
        <c:axId val="134334239"/>
        <c:axId val="78841903"/>
      </c:lineChart>
      <c:catAx>
        <c:axId val="13433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8841903"/>
        <c:crosses val="autoZero"/>
        <c:auto val="1"/>
        <c:lblAlgn val="ctr"/>
        <c:lblOffset val="100"/>
        <c:noMultiLvlLbl val="0"/>
      </c:catAx>
      <c:valAx>
        <c:axId val="78841903"/>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_);_(* \(#,##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4334239"/>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[Porto_DashBoard_Excel_Fixed.xlsx]Sheet2!PivotTable12</c:name>
    <c:fmtId val="0"/>
  </c:pivotSource>
  <c:chart>
    <c:title>
      <c:tx>
        <c:rich>
          <a:bodyPr/>
          <a:lstStyle/>
          <a:p>
            <a:r>
              <a:rPr lang="en-US"/>
              <a:t>Total</a:t>
            </a:r>
          </a:p>
        </c:rich>
      </c:tx>
      <c:overlay val="0"/>
      <c:spPr>
        <a:noFill/>
        <a:ln>
          <a:noFill/>
          <a:prstDash val="solid"/>
        </a:ln>
      </c:spPr>
    </c:title>
    <c:autoTitleDeleted val="0"/>
    <c:pivotFmts>
      <c:pivotFmt>
        <c:idx val="0"/>
        <c:spPr>
          <a:ln>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prstDash val="solid"/>
          </a:ln>
          <a:sp3d contourW="25400"/>
        </c:spPr>
      </c:pivotFmt>
      <c:pivotFmt>
        <c:idx val="2"/>
        <c:spPr>
          <a:solidFill>
            <a:schemeClr val="accent2"/>
          </a:solidFill>
          <a:ln w="25400">
            <a:solidFill>
              <a:schemeClr val="lt1"/>
            </a:solidFill>
            <a:prstDash val="solid"/>
          </a:ln>
          <a:sp3d contourW="25400"/>
        </c:spPr>
      </c:pivotFmt>
      <c:pivotFmt>
        <c:idx val="3"/>
        <c:spPr>
          <a:solidFill>
            <a:schemeClr val="accent3"/>
          </a:solidFill>
          <a:ln w="25400">
            <a:solidFill>
              <a:schemeClr val="lt1"/>
            </a:solidFill>
            <a:prstDash val="solid"/>
          </a:ln>
          <a:sp3d contourW="25400"/>
        </c:spPr>
      </c:pivotFmt>
    </c:pivotFmts>
    <c:view3D>
      <c:rotX val="15"/>
      <c:rotY val="0"/>
      <c:rAngAx val="0"/>
    </c:view3D>
    <c:floor>
      <c:thickness val="0"/>
    </c:floor>
    <c:sideWall>
      <c:thickness val="0"/>
    </c:sideWall>
    <c:backWall>
      <c:thickness val="0"/>
    </c:backWall>
    <c:plotArea>
      <c:layout/>
      <c:pie3DChart>
        <c:varyColors val="1"/>
        <c:ser>
          <c:idx val="0"/>
          <c:order val="0"/>
          <c:tx>
            <c:strRef>
              <c:f>Sheet2!$B$71</c:f>
              <c:strCache>
                <c:ptCount val="1"/>
                <c:pt idx="0">
                  <c:v>Total</c:v>
                </c:pt>
              </c:strCache>
            </c:strRef>
          </c:tx>
          <c:spPr>
            <a:ln>
              <a:prstDash val="solid"/>
            </a:ln>
          </c:spPr>
          <c:dPt>
            <c:idx val="0"/>
            <c:bubble3D val="0"/>
            <c:spPr>
              <a:solidFill>
                <a:schemeClr val="accent1"/>
              </a:solidFill>
              <a:ln w="25400">
                <a:solidFill>
                  <a:schemeClr val="lt1"/>
                </a:solidFill>
                <a:prstDash val="solid"/>
              </a:ln>
              <a:sp3d contourW="25400"/>
            </c:spPr>
            <c:extLst>
              <c:ext xmlns:c16="http://schemas.microsoft.com/office/drawing/2014/chart" uri="{C3380CC4-5D6E-409C-BE32-E72D297353CC}">
                <c16:uniqueId val="{00000001-1462-4EA5-8F97-931E055A4400}"/>
              </c:ext>
            </c:extLst>
          </c:dPt>
          <c:dPt>
            <c:idx val="1"/>
            <c:bubble3D val="0"/>
            <c:spPr>
              <a:solidFill>
                <a:schemeClr val="accent2"/>
              </a:solidFill>
              <a:ln w="25400">
                <a:solidFill>
                  <a:schemeClr val="lt1"/>
                </a:solidFill>
                <a:prstDash val="solid"/>
              </a:ln>
              <a:sp3d contourW="25400"/>
            </c:spPr>
            <c:extLst>
              <c:ext xmlns:c16="http://schemas.microsoft.com/office/drawing/2014/chart" uri="{C3380CC4-5D6E-409C-BE32-E72D297353CC}">
                <c16:uniqueId val="{00000003-1462-4EA5-8F97-931E055A4400}"/>
              </c:ext>
            </c:extLst>
          </c:dPt>
          <c:dPt>
            <c:idx val="2"/>
            <c:bubble3D val="0"/>
            <c:spPr>
              <a:solidFill>
                <a:schemeClr val="accent3"/>
              </a:solidFill>
              <a:ln w="25400">
                <a:solidFill>
                  <a:schemeClr val="lt1"/>
                </a:solidFill>
                <a:prstDash val="solid"/>
              </a:ln>
              <a:sp3d contourW="25400"/>
            </c:spPr>
            <c:extLst>
              <c:ext xmlns:c16="http://schemas.microsoft.com/office/drawing/2014/chart" uri="{C3380CC4-5D6E-409C-BE32-E72D297353CC}">
                <c16:uniqueId val="{00000005-1462-4EA5-8F97-931E055A4400}"/>
              </c:ext>
            </c:extLst>
          </c:dPt>
          <c:cat>
            <c:strRef>
              <c:f>Sheet2!$A$72:$A$75</c:f>
              <c:strCache>
                <c:ptCount val="3"/>
                <c:pt idx="0">
                  <c:v>anto</c:v>
                </c:pt>
                <c:pt idx="1">
                  <c:v>Rudi</c:v>
                </c:pt>
                <c:pt idx="2">
                  <c:v>Tono</c:v>
                </c:pt>
              </c:strCache>
            </c:strRef>
          </c:cat>
          <c:val>
            <c:numRef>
              <c:f>Sheet2!$B$72:$B$75</c:f>
              <c:numCache>
                <c:formatCode>_(* #,##0_);_(* \(#,##0\);_(* "-"_);_(@_)</c:formatCode>
                <c:ptCount val="3"/>
                <c:pt idx="0">
                  <c:v>457750000</c:v>
                </c:pt>
                <c:pt idx="1">
                  <c:v>551650000</c:v>
                </c:pt>
                <c:pt idx="2">
                  <c:v>55050000</c:v>
                </c:pt>
              </c:numCache>
            </c:numRef>
          </c:val>
          <c:extLst>
            <c:ext xmlns:c16="http://schemas.microsoft.com/office/drawing/2014/chart" uri="{C3380CC4-5D6E-409C-BE32-E72D297353CC}">
              <c16:uniqueId val="{00000006-1462-4EA5-8F97-931E055A4400}"/>
            </c:ext>
          </c:extLst>
        </c:ser>
        <c:dLbls>
          <c:showLegendKey val="0"/>
          <c:showVal val="0"/>
          <c:showCatName val="0"/>
          <c:showSerName val="0"/>
          <c:showPercent val="0"/>
          <c:showBubbleSize val="0"/>
          <c:showLeaderLines val="1"/>
        </c:dLbls>
      </c:pie3D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[Porto_DashBoard_Excel_Fixed.xlsx]Sheet2!PivotTable4</c:name>
    <c:fmtId val="3"/>
  </c:pivotSource>
  <c:chart>
    <c:title>
      <c:tx>
        <c:rich>
          <a:bodyPr rot="0" spcFirstLastPara="1" vertOverflow="ellipsis" vert="horz" wrap="square" anchor="ctr" anchorCtr="1"/>
          <a:lstStyle/>
          <a:p>
            <a:pPr>
              <a:defRPr sz="1400" b="0" i="0" strike="noStrike" kern="1200" spc="0" baseline="0">
                <a:solidFill>
                  <a:schemeClr val="dk1"/>
                </a:solidFill>
                <a:latin typeface="+mn-lt"/>
                <a:ea typeface="+mn-ea"/>
                <a:cs typeface="+mn-cs"/>
              </a:defRPr>
            </a:pPr>
            <a:r>
              <a:rPr lang="en-US"/>
              <a:t>Total Volume Material</a:t>
            </a:r>
          </a:p>
        </c:rich>
      </c:tx>
      <c:overlay val="0"/>
      <c:spPr>
        <a:noFill/>
        <a:ln>
          <a:noFill/>
          <a:prstDash val="solid"/>
        </a:ln>
      </c:spPr>
    </c:title>
    <c:autoTitleDeleted val="0"/>
    <c:pivotFmts>
      <c:pivotFmt>
        <c:idx val="0"/>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Sheet2!$B$12</c:f>
              <c:strCache>
                <c:ptCount val="1"/>
                <c:pt idx="0">
                  <c:v>Total</c:v>
                </c:pt>
              </c:strCache>
            </c:strRef>
          </c:tx>
          <c:spPr>
            <a:solidFill>
              <a:schemeClr val="accent6"/>
            </a:solidFill>
            <a:ln>
              <a:noFill/>
              <a:prstDash val="solid"/>
            </a:ln>
          </c:spPr>
          <c:invertIfNegative val="0"/>
          <c:cat>
            <c:strRef>
              <c:f>Sheet2!$A$13:$A$16</c:f>
              <c:strCache>
                <c:ptCount val="3"/>
                <c:pt idx="0">
                  <c:v>Batu Kali</c:v>
                </c:pt>
                <c:pt idx="1">
                  <c:v>Kerikil</c:v>
                </c:pt>
                <c:pt idx="2">
                  <c:v>Pasir</c:v>
                </c:pt>
              </c:strCache>
            </c:strRef>
          </c:cat>
          <c:val>
            <c:numRef>
              <c:f>Sheet2!$B$13:$B$16</c:f>
              <c:numCache>
                <c:formatCode>_(* #,##0_);_(* \(#,##0\);_(* "-"_);_(@_)</c:formatCode>
                <c:ptCount val="3"/>
                <c:pt idx="0">
                  <c:v>8410</c:v>
                </c:pt>
                <c:pt idx="1">
                  <c:v>3220</c:v>
                </c:pt>
                <c:pt idx="2">
                  <c:v>3360</c:v>
                </c:pt>
              </c:numCache>
            </c:numRef>
          </c:val>
          <c:extLst>
            <c:ext xmlns:c16="http://schemas.microsoft.com/office/drawing/2014/chart" uri="{C3380CC4-5D6E-409C-BE32-E72D297353CC}">
              <c16:uniqueId val="{00000000-1A46-4119-9008-2117CE9E4BA3}"/>
            </c:ext>
          </c:extLst>
        </c:ser>
        <c:dLbls>
          <c:showLegendKey val="0"/>
          <c:showVal val="0"/>
          <c:showCatName val="0"/>
          <c:showSerName val="0"/>
          <c:showPercent val="0"/>
          <c:showBubbleSize val="0"/>
        </c:dLbls>
        <c:gapWidth val="219"/>
        <c:overlap val="-27"/>
        <c:axId val="1939665519"/>
        <c:axId val="1931005359"/>
      </c:barChart>
      <c:catAx>
        <c:axId val="193966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crossAx val="1931005359"/>
        <c:crosses val="autoZero"/>
        <c:auto val="1"/>
        <c:lblAlgn val="ctr"/>
        <c:lblOffset val="100"/>
        <c:noMultiLvlLbl val="0"/>
      </c:catAx>
      <c:valAx>
        <c:axId val="1931005359"/>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_);_(* \(#,##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crossAx val="1939665519"/>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legend>
    <c:plotVisOnly val="1"/>
    <c:dispBlanksAs val="gap"/>
    <c:showDLblsOverMax val="1"/>
  </c:chart>
  <c:spPr>
    <a:solidFill>
      <a:schemeClr val="lt1"/>
    </a:solidFill>
    <a:ln w="12700" cap="flat" cmpd="sng" algn="ctr">
      <a:solidFill>
        <a:schemeClr val="accent6"/>
      </a:solidFill>
      <a:prstDash val="solid"/>
      <a:miter lim="800000"/>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[Porto_DashBoard_Excel_Fixed.xlsx]Sheet2!PivotTable5</c:name>
    <c:fmtId val="11"/>
  </c:pivotSource>
  <c:chart>
    <c:title>
      <c:tx>
        <c:rich>
          <a:bodyPr rot="0" spcFirstLastPara="1" vertOverflow="ellipsis" vert="horz" wrap="square" anchor="ctr" anchorCtr="1"/>
          <a:lstStyle/>
          <a:p>
            <a:pPr>
              <a:defRPr sz="1400" b="0" i="0" strike="noStrike" kern="1200" spc="0" baseline="0">
                <a:solidFill>
                  <a:schemeClr val="dk1"/>
                </a:solidFill>
                <a:latin typeface="+mn-lt"/>
                <a:ea typeface="+mn-ea"/>
                <a:cs typeface="+mn-cs"/>
              </a:defRPr>
            </a:pPr>
            <a:r>
              <a:rPr lang="en-US"/>
              <a:t>Total Laba Per Karyawan</a:t>
            </a:r>
          </a:p>
        </c:rich>
      </c:tx>
      <c:overlay val="0"/>
      <c:spPr>
        <a:noFill/>
        <a:ln>
          <a:noFill/>
          <a:prstDash val="solid"/>
        </a:ln>
      </c:spPr>
    </c:title>
    <c:autoTitleDeleted val="0"/>
    <c:pivotFmts>
      <c:pivotFmt>
        <c:idx val="0"/>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rgbClr val="92D050"/>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4"/>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5"/>
        <c:spPr>
          <a:solidFill>
            <a:schemeClr val="accent5"/>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Sheet2!$B$25:$B$26</c:f>
              <c:strCache>
                <c:ptCount val="1"/>
                <c:pt idx="0">
                  <c:v>Pembelian</c:v>
                </c:pt>
              </c:strCache>
            </c:strRef>
          </c:tx>
          <c:spPr>
            <a:solidFill>
              <a:schemeClr val="accent6"/>
            </a:solidFill>
            <a:ln>
              <a:noFill/>
              <a:prstDash val="solid"/>
            </a:ln>
          </c:spPr>
          <c:invertIfNegative val="0"/>
          <c:cat>
            <c:strRef>
              <c:f>Sheet2!$A$27:$A$30</c:f>
              <c:strCache>
                <c:ptCount val="3"/>
                <c:pt idx="0">
                  <c:v>anto</c:v>
                </c:pt>
                <c:pt idx="1">
                  <c:v>Rudi</c:v>
                </c:pt>
                <c:pt idx="2">
                  <c:v>Tono</c:v>
                </c:pt>
              </c:strCache>
            </c:strRef>
          </c:cat>
          <c:val>
            <c:numRef>
              <c:f>Sheet2!$B$27:$B$30</c:f>
              <c:numCache>
                <c:formatCode>_(* #,##0_);_(* \(#,##0\);_(* "-"_);_(@_)</c:formatCode>
                <c:ptCount val="3"/>
                <c:pt idx="0">
                  <c:v>1024250000</c:v>
                </c:pt>
                <c:pt idx="1">
                  <c:v>932900000</c:v>
                </c:pt>
                <c:pt idx="2">
                  <c:v>176700000</c:v>
                </c:pt>
              </c:numCache>
            </c:numRef>
          </c:val>
          <c:extLst>
            <c:ext xmlns:c16="http://schemas.microsoft.com/office/drawing/2014/chart" uri="{C3380CC4-5D6E-409C-BE32-E72D297353CC}">
              <c16:uniqueId val="{00000000-3CAF-411B-B055-EF9F92B589F9}"/>
            </c:ext>
          </c:extLst>
        </c:ser>
        <c:ser>
          <c:idx val="1"/>
          <c:order val="1"/>
          <c:tx>
            <c:strRef>
              <c:f>Sheet2!$C$25:$C$26</c:f>
              <c:strCache>
                <c:ptCount val="1"/>
                <c:pt idx="0">
                  <c:v>Penjualan</c:v>
                </c:pt>
              </c:strCache>
            </c:strRef>
          </c:tx>
          <c:spPr>
            <a:solidFill>
              <a:schemeClr val="accent5"/>
            </a:solidFill>
            <a:ln>
              <a:noFill/>
              <a:prstDash val="solid"/>
            </a:ln>
          </c:spPr>
          <c:invertIfNegative val="0"/>
          <c:cat>
            <c:strRef>
              <c:f>Sheet2!$A$27:$A$30</c:f>
              <c:strCache>
                <c:ptCount val="3"/>
                <c:pt idx="0">
                  <c:v>anto</c:v>
                </c:pt>
                <c:pt idx="1">
                  <c:v>Rudi</c:v>
                </c:pt>
                <c:pt idx="2">
                  <c:v>Tono</c:v>
                </c:pt>
              </c:strCache>
            </c:strRef>
          </c:cat>
          <c:val>
            <c:numRef>
              <c:f>Sheet2!$C$27:$C$30</c:f>
              <c:numCache>
                <c:formatCode>_(* #,##0_);_(* \(#,##0\);_(* "-"_);_(@_)</c:formatCode>
                <c:ptCount val="3"/>
                <c:pt idx="0">
                  <c:v>1482000000</c:v>
                </c:pt>
                <c:pt idx="1">
                  <c:v>1484550000</c:v>
                </c:pt>
                <c:pt idx="2">
                  <c:v>231750000</c:v>
                </c:pt>
              </c:numCache>
            </c:numRef>
          </c:val>
          <c:extLst>
            <c:ext xmlns:c16="http://schemas.microsoft.com/office/drawing/2014/chart" uri="{C3380CC4-5D6E-409C-BE32-E72D297353CC}">
              <c16:uniqueId val="{00000001-3CAF-411B-B055-EF9F92B589F9}"/>
            </c:ext>
          </c:extLst>
        </c:ser>
        <c:ser>
          <c:idx val="2"/>
          <c:order val="2"/>
          <c:tx>
            <c:strRef>
              <c:f>Sheet2!$D$25:$D$26</c:f>
              <c:strCache>
                <c:ptCount val="1"/>
                <c:pt idx="0">
                  <c:v>Total Laba</c:v>
                </c:pt>
              </c:strCache>
            </c:strRef>
          </c:tx>
          <c:spPr>
            <a:solidFill>
              <a:srgbClr val="92D050"/>
            </a:solidFill>
            <a:ln>
              <a:noFill/>
              <a:prstDash val="solid"/>
            </a:ln>
          </c:spPr>
          <c:invertIfNegative val="0"/>
          <c:cat>
            <c:strRef>
              <c:f>Sheet2!$A$27:$A$30</c:f>
              <c:strCache>
                <c:ptCount val="3"/>
                <c:pt idx="0">
                  <c:v>anto</c:v>
                </c:pt>
                <c:pt idx="1">
                  <c:v>Rudi</c:v>
                </c:pt>
                <c:pt idx="2">
                  <c:v>Tono</c:v>
                </c:pt>
              </c:strCache>
            </c:strRef>
          </c:cat>
          <c:val>
            <c:numRef>
              <c:f>Sheet2!$D$27:$D$30</c:f>
              <c:numCache>
                <c:formatCode>_(* #,##0_);_(* \(#,##0\);_(* "-"_);_(@_)</c:formatCode>
                <c:ptCount val="3"/>
                <c:pt idx="0">
                  <c:v>457750000</c:v>
                </c:pt>
                <c:pt idx="1">
                  <c:v>551650000</c:v>
                </c:pt>
                <c:pt idx="2">
                  <c:v>55050000</c:v>
                </c:pt>
              </c:numCache>
            </c:numRef>
          </c:val>
          <c:extLst>
            <c:ext xmlns:c16="http://schemas.microsoft.com/office/drawing/2014/chart" uri="{C3380CC4-5D6E-409C-BE32-E72D297353CC}">
              <c16:uniqueId val="{00000002-3CAF-411B-B055-EF9F92B589F9}"/>
            </c:ext>
          </c:extLst>
        </c:ser>
        <c:dLbls>
          <c:showLegendKey val="0"/>
          <c:showVal val="0"/>
          <c:showCatName val="0"/>
          <c:showSerName val="0"/>
          <c:showPercent val="0"/>
          <c:showBubbleSize val="0"/>
        </c:dLbls>
        <c:gapWidth val="219"/>
        <c:overlap val="-27"/>
        <c:axId val="119790863"/>
        <c:axId val="78827503"/>
      </c:barChart>
      <c:catAx>
        <c:axId val="11979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crossAx val="78827503"/>
        <c:crosses val="autoZero"/>
        <c:auto val="1"/>
        <c:lblAlgn val="ctr"/>
        <c:lblOffset val="100"/>
        <c:noMultiLvlLbl val="0"/>
      </c:catAx>
      <c:valAx>
        <c:axId val="78827503"/>
        <c:scaling>
          <c:orientation val="minMax"/>
        </c:scaling>
        <c:delete val="0"/>
        <c:axPos val="l"/>
        <c:majorGridlines>
          <c:spPr>
            <a:ln w="9525" cap="flat" cmpd="sng" algn="ctr">
              <a:solidFill>
                <a:schemeClr val="tx1">
                  <a:lumMod val="15000"/>
                  <a:lumOff val="85000"/>
                </a:schemeClr>
              </a:solidFill>
              <a:prstDash val="solid"/>
              <a:round/>
            </a:ln>
          </c:spPr>
        </c:majorGridlines>
        <c:numFmt formatCode="[$Rp-421]#,##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crossAx val="11979086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legend>
    <c:plotVisOnly val="1"/>
    <c:dispBlanksAs val="gap"/>
    <c:showDLblsOverMax val="1"/>
  </c:chart>
  <c:spPr>
    <a:solidFill>
      <a:schemeClr val="lt1"/>
    </a:solidFill>
    <a:ln w="12700" cap="flat" cmpd="sng" algn="ctr">
      <a:solidFill>
        <a:schemeClr val="accent6"/>
      </a:solidFill>
      <a:prstDash val="solid"/>
      <a:miter lim="800000"/>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[Porto_DashBoard_Excel_Fixed.xlsx]Sheet2!PivotTable6</c:name>
    <c:fmtId val="20"/>
  </c:pivotSource>
  <c:chart>
    <c:autoTitleDeleted val="1"/>
    <c:pivotFmts>
      <c:pivotFmt>
        <c:idx val="0"/>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4"/>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5"/>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6"/>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7"/>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8"/>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9"/>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10"/>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11"/>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12"/>
        <c:spPr>
          <a:solidFill>
            <a:schemeClr val="accent6"/>
          </a:solidFill>
          <a:ln>
            <a:noFill/>
            <a:prstDash val="solid"/>
          </a:ln>
        </c:spPr>
        <c:marker>
          <c:symbol val="none"/>
        </c:marker>
        <c:dLbl>
          <c:idx val="0"/>
          <c:delete val="1"/>
          <c:extLst>
            <c:ext xmlns:c15="http://schemas.microsoft.com/office/drawing/2012/chart" uri="{CE6537A1-D6FC-4f65-9D91-7224C49458BB}"/>
          </c:extLst>
        </c:dLbl>
      </c:pivotFmt>
      <c:pivotFmt>
        <c:idx val="13"/>
        <c:spPr>
          <a:solidFill>
            <a:schemeClr val="accent5"/>
          </a:solidFill>
          <a:ln>
            <a:noFill/>
            <a:prstDash val="solid"/>
          </a:ln>
        </c:spPr>
        <c:marker>
          <c:symbol val="none"/>
        </c:marker>
        <c:dLbl>
          <c:idx val="0"/>
          <c:delete val="1"/>
          <c:extLst>
            <c:ext xmlns:c15="http://schemas.microsoft.com/office/drawing/2012/chart" uri="{CE6537A1-D6FC-4f65-9D91-7224C49458BB}"/>
          </c:extLst>
        </c:dLbl>
      </c:pivotFmt>
      <c:pivotFmt>
        <c:idx val="14"/>
        <c:spPr>
          <a:solidFill>
            <a:schemeClr val="accent4"/>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Sheet2!$B$41:$B$42</c:f>
              <c:strCache>
                <c:ptCount val="1"/>
                <c:pt idx="0">
                  <c:v>Pembelian</c:v>
                </c:pt>
              </c:strCache>
            </c:strRef>
          </c:tx>
          <c:spPr>
            <a:solidFill>
              <a:schemeClr val="accent6"/>
            </a:solidFill>
            <a:ln>
              <a:noFill/>
              <a:prstDash val="solid"/>
            </a:ln>
          </c:spPr>
          <c:invertIfNegative val="0"/>
          <c:cat>
            <c:strRef>
              <c:f>Sheet2!$A$43:$A$46</c:f>
              <c:strCache>
                <c:ptCount val="3"/>
                <c:pt idx="0">
                  <c:v>Batu Kali</c:v>
                </c:pt>
                <c:pt idx="1">
                  <c:v>Kerikil</c:v>
                </c:pt>
                <c:pt idx="2">
                  <c:v>Pasir</c:v>
                </c:pt>
              </c:strCache>
            </c:strRef>
          </c:cat>
          <c:val>
            <c:numRef>
              <c:f>Sheet2!$B$43:$B$46</c:f>
              <c:numCache>
                <c:formatCode>_(* #,##0_);_(* \(#,##0\);_(* "-"_);_(@_)</c:formatCode>
                <c:ptCount val="3"/>
                <c:pt idx="0">
                  <c:v>1140450000</c:v>
                </c:pt>
                <c:pt idx="1">
                  <c:v>479400000</c:v>
                </c:pt>
                <c:pt idx="2">
                  <c:v>514000000</c:v>
                </c:pt>
              </c:numCache>
            </c:numRef>
          </c:val>
          <c:extLst>
            <c:ext xmlns:c16="http://schemas.microsoft.com/office/drawing/2014/chart" uri="{C3380CC4-5D6E-409C-BE32-E72D297353CC}">
              <c16:uniqueId val="{00000000-E181-4F50-9229-CC59B9B43F0B}"/>
            </c:ext>
          </c:extLst>
        </c:ser>
        <c:ser>
          <c:idx val="1"/>
          <c:order val="1"/>
          <c:tx>
            <c:strRef>
              <c:f>Sheet2!$C$41:$C$42</c:f>
              <c:strCache>
                <c:ptCount val="1"/>
                <c:pt idx="0">
                  <c:v>Penjualan</c:v>
                </c:pt>
              </c:strCache>
            </c:strRef>
          </c:tx>
          <c:spPr>
            <a:solidFill>
              <a:schemeClr val="accent5"/>
            </a:solidFill>
            <a:ln>
              <a:noFill/>
              <a:prstDash val="solid"/>
            </a:ln>
          </c:spPr>
          <c:invertIfNegative val="0"/>
          <c:cat>
            <c:strRef>
              <c:f>Sheet2!$A$43:$A$46</c:f>
              <c:strCache>
                <c:ptCount val="3"/>
                <c:pt idx="0">
                  <c:v>Batu Kali</c:v>
                </c:pt>
                <c:pt idx="1">
                  <c:v>Kerikil</c:v>
                </c:pt>
                <c:pt idx="2">
                  <c:v>Pasir</c:v>
                </c:pt>
              </c:strCache>
            </c:strRef>
          </c:cat>
          <c:val>
            <c:numRef>
              <c:f>Sheet2!$C$43:$C$46</c:f>
              <c:numCache>
                <c:formatCode>_(* #,##0_);_(* \(#,##0\);_(* "-"_);_(@_)</c:formatCode>
                <c:ptCount val="3"/>
                <c:pt idx="0">
                  <c:v>1766100000</c:v>
                </c:pt>
                <c:pt idx="1">
                  <c:v>676200000</c:v>
                </c:pt>
                <c:pt idx="2">
                  <c:v>756000000</c:v>
                </c:pt>
              </c:numCache>
            </c:numRef>
          </c:val>
          <c:extLst>
            <c:ext xmlns:c16="http://schemas.microsoft.com/office/drawing/2014/chart" uri="{C3380CC4-5D6E-409C-BE32-E72D297353CC}">
              <c16:uniqueId val="{00000001-E181-4F50-9229-CC59B9B43F0B}"/>
            </c:ext>
          </c:extLst>
        </c:ser>
        <c:ser>
          <c:idx val="2"/>
          <c:order val="2"/>
          <c:tx>
            <c:strRef>
              <c:f>Sheet2!$D$41:$D$42</c:f>
              <c:strCache>
                <c:ptCount val="1"/>
                <c:pt idx="0">
                  <c:v>Total Laba</c:v>
                </c:pt>
              </c:strCache>
            </c:strRef>
          </c:tx>
          <c:spPr>
            <a:solidFill>
              <a:schemeClr val="accent4"/>
            </a:solidFill>
            <a:ln>
              <a:noFill/>
              <a:prstDash val="solid"/>
            </a:ln>
          </c:spPr>
          <c:invertIfNegative val="0"/>
          <c:cat>
            <c:strRef>
              <c:f>Sheet2!$A$43:$A$46</c:f>
              <c:strCache>
                <c:ptCount val="3"/>
                <c:pt idx="0">
                  <c:v>Batu Kali</c:v>
                </c:pt>
                <c:pt idx="1">
                  <c:v>Kerikil</c:v>
                </c:pt>
                <c:pt idx="2">
                  <c:v>Pasir</c:v>
                </c:pt>
              </c:strCache>
            </c:strRef>
          </c:cat>
          <c:val>
            <c:numRef>
              <c:f>Sheet2!$D$43:$D$46</c:f>
              <c:numCache>
                <c:formatCode>_(* #,##0_);_(* \(#,##0\);_(* "-"_);_(@_)</c:formatCode>
                <c:ptCount val="3"/>
                <c:pt idx="0">
                  <c:v>625650000</c:v>
                </c:pt>
                <c:pt idx="1">
                  <c:v>196800000</c:v>
                </c:pt>
                <c:pt idx="2">
                  <c:v>242000000</c:v>
                </c:pt>
              </c:numCache>
            </c:numRef>
          </c:val>
          <c:extLst>
            <c:ext xmlns:c16="http://schemas.microsoft.com/office/drawing/2014/chart" uri="{C3380CC4-5D6E-409C-BE32-E72D297353CC}">
              <c16:uniqueId val="{00000002-E181-4F50-9229-CC59B9B43F0B}"/>
            </c:ext>
          </c:extLst>
        </c:ser>
        <c:dLbls>
          <c:showLegendKey val="0"/>
          <c:showVal val="0"/>
          <c:showCatName val="0"/>
          <c:showSerName val="0"/>
          <c:showPercent val="0"/>
          <c:showBubbleSize val="0"/>
        </c:dLbls>
        <c:gapWidth val="219"/>
        <c:overlap val="-27"/>
        <c:axId val="119788543"/>
        <c:axId val="78843343"/>
      </c:barChart>
      <c:catAx>
        <c:axId val="11978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crossAx val="78843343"/>
        <c:crosses val="autoZero"/>
        <c:auto val="1"/>
        <c:lblAlgn val="ctr"/>
        <c:lblOffset val="100"/>
        <c:noMultiLvlLbl val="0"/>
      </c:catAx>
      <c:valAx>
        <c:axId val="78843343"/>
        <c:scaling>
          <c:orientation val="minMax"/>
        </c:scaling>
        <c:delete val="0"/>
        <c:axPos val="l"/>
        <c:majorGridlines>
          <c:spPr>
            <a:ln w="9525" cap="flat" cmpd="sng" algn="ctr">
              <a:solidFill>
                <a:schemeClr val="tx1">
                  <a:lumMod val="15000"/>
                  <a:lumOff val="85000"/>
                </a:schemeClr>
              </a:solidFill>
              <a:prstDash val="solid"/>
              <a:round/>
            </a:ln>
          </c:spPr>
        </c:majorGridlines>
        <c:numFmt formatCode="[$Rp-421]#,##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crossAx val="11978854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legend>
    <c:plotVisOnly val="1"/>
    <c:dispBlanksAs val="gap"/>
    <c:showDLblsOverMax val="1"/>
  </c:chart>
  <c:spPr>
    <a:solidFill>
      <a:schemeClr val="lt1"/>
    </a:solidFill>
    <a:ln w="12700" cap="flat" cmpd="sng" algn="ctr">
      <a:solidFill>
        <a:schemeClr val="accent6"/>
      </a:solidFill>
      <a:prstDash val="solid"/>
      <a:miter lim="800000"/>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[Porto_DashBoard_Excel_Fixed.xlsx]Sheet2!PivotTable7</c:name>
    <c:fmtId val="27"/>
  </c:pivotSource>
  <c:chart>
    <c:title>
      <c:tx>
        <c:rich>
          <a:bodyPr rot="0" spcFirstLastPara="1" vertOverflow="ellipsis" vert="horz" wrap="square" anchor="ctr" anchorCtr="1"/>
          <a:lstStyle/>
          <a:p>
            <a:pPr>
              <a:defRPr sz="1400" b="0" i="0" strike="noStrike" kern="1200" spc="0" baseline="0">
                <a:solidFill>
                  <a:schemeClr val="dk1"/>
                </a:solidFill>
                <a:latin typeface="+mn-lt"/>
                <a:ea typeface="+mn-ea"/>
                <a:cs typeface="+mn-cs"/>
              </a:defRPr>
            </a:pPr>
            <a:r>
              <a:rPr lang="en-US"/>
              <a:t>Tren Laba per Bulan</a:t>
            </a:r>
          </a:p>
        </c:rich>
      </c:tx>
      <c:overlay val="0"/>
      <c:spPr>
        <a:noFill/>
        <a:ln>
          <a:noFill/>
          <a:prstDash val="solid"/>
        </a:ln>
      </c:spPr>
    </c:title>
    <c:autoTitleDeleted val="0"/>
    <c:pivotFmts>
      <c:pivotFmt>
        <c:idx val="0"/>
        <c:spPr>
          <a:solidFill>
            <a:schemeClr val="accent6"/>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6">
                <a:lumMod val="60000"/>
                <a:lumOff val="40000"/>
              </a:schemeClr>
            </a:solidFill>
            <a:prstDash val="solid"/>
            <a:round/>
          </a:ln>
        </c:spPr>
        <c:marker>
          <c:symbol val="none"/>
        </c:marker>
        <c:dLbl>
          <c:idx val="0"/>
          <c:spPr>
            <a:noFill/>
            <a:ln>
              <a:noFill/>
              <a:prstDash val="solid"/>
            </a:ln>
          </c:spPr>
          <c:txPr>
            <a:bodyPr rot="0" spcFirstLastPara="1" vertOverflow="overflow" horzOverflow="overflow" vert="horz" wrap="square" lIns="91440" tIns="91440" rIns="182880" bIns="91440" anchor="ctr" anchorCtr="1"/>
            <a:lstStyle/>
            <a:p>
              <a:pPr>
                <a:defRPr sz="900" b="0" i="0"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pivotFmt>
    </c:pivotFmts>
    <c:plotArea>
      <c:layout/>
      <c:lineChart>
        <c:grouping val="standard"/>
        <c:varyColors val="0"/>
        <c:ser>
          <c:idx val="0"/>
          <c:order val="0"/>
          <c:tx>
            <c:strRef>
              <c:f>Sheet2!$B$49</c:f>
              <c:strCache>
                <c:ptCount val="1"/>
                <c:pt idx="0">
                  <c:v>Total</c:v>
                </c:pt>
              </c:strCache>
            </c:strRef>
          </c:tx>
          <c:spPr>
            <a:ln w="28575" cap="rnd">
              <a:solidFill>
                <a:schemeClr val="accent6">
                  <a:lumMod val="60000"/>
                  <a:lumOff val="40000"/>
                </a:schemeClr>
              </a:solidFill>
              <a:prstDash val="solid"/>
              <a:round/>
            </a:ln>
          </c:spPr>
          <c:marker>
            <c:symbol val="none"/>
          </c:marker>
          <c:dLbls>
            <c:spPr>
              <a:noFill/>
              <a:ln>
                <a:noFill/>
                <a:prstDash val="solid"/>
              </a:ln>
            </c:spPr>
            <c:txPr>
              <a:bodyPr rot="0" spcFirstLastPara="1" vertOverflow="overflow" horzOverflow="overflow" vert="horz" wrap="square" lIns="91440" tIns="91440" rIns="182880" bIns="91440" anchor="ctr" anchorCtr="1"/>
              <a:lstStyle/>
              <a:p>
                <a:pPr>
                  <a:defRPr sz="900" b="0" i="0"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Sheet2!$A$50:$A$55</c:f>
              <c:strCache>
                <c:ptCount val="5"/>
                <c:pt idx="0">
                  <c:v>Mar</c:v>
                </c:pt>
                <c:pt idx="1">
                  <c:v>Apr</c:v>
                </c:pt>
                <c:pt idx="2">
                  <c:v>May</c:v>
                </c:pt>
                <c:pt idx="3">
                  <c:v>Jun</c:v>
                </c:pt>
                <c:pt idx="4">
                  <c:v>Jul</c:v>
                </c:pt>
              </c:strCache>
            </c:strRef>
          </c:cat>
          <c:val>
            <c:numRef>
              <c:f>Sheet2!$B$50:$B$55</c:f>
              <c:numCache>
                <c:formatCode>_(* #,##0_);_(* \(#,##0\);_(* "-"_);_(@_)</c:formatCode>
                <c:ptCount val="5"/>
                <c:pt idx="0">
                  <c:v>118250000</c:v>
                </c:pt>
                <c:pt idx="1">
                  <c:v>132950000</c:v>
                </c:pt>
                <c:pt idx="2">
                  <c:v>120400000</c:v>
                </c:pt>
                <c:pt idx="3">
                  <c:v>148750000</c:v>
                </c:pt>
                <c:pt idx="4">
                  <c:v>544100000</c:v>
                </c:pt>
              </c:numCache>
            </c:numRef>
          </c:val>
          <c:smooth val="0"/>
          <c:extLst>
            <c:ext xmlns:c16="http://schemas.microsoft.com/office/drawing/2014/chart" uri="{C3380CC4-5D6E-409C-BE32-E72D297353CC}">
              <c16:uniqueId val="{00000000-2B7C-4BFB-A1BA-81072934F522}"/>
            </c:ext>
          </c:extLst>
        </c:ser>
        <c:dLbls>
          <c:dLblPos val="t"/>
          <c:showLegendKey val="0"/>
          <c:showVal val="1"/>
          <c:showCatName val="0"/>
          <c:showSerName val="0"/>
          <c:showPercent val="0"/>
          <c:showBubbleSize val="0"/>
        </c:dLbls>
        <c:smooth val="0"/>
        <c:axId val="134334239"/>
        <c:axId val="78841903"/>
      </c:lineChart>
      <c:catAx>
        <c:axId val="13433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crossAx val="78841903"/>
        <c:crosses val="autoZero"/>
        <c:auto val="1"/>
        <c:lblAlgn val="ctr"/>
        <c:lblOffset val="100"/>
        <c:noMultiLvlLbl val="0"/>
      </c:catAx>
      <c:valAx>
        <c:axId val="78841903"/>
        <c:scaling>
          <c:orientation val="minMax"/>
        </c:scaling>
        <c:delete val="0"/>
        <c:axPos val="l"/>
        <c:majorGridlines>
          <c:spPr>
            <a:ln w="9525" cap="flat" cmpd="sng" algn="ctr">
              <a:solidFill>
                <a:schemeClr val="tx1">
                  <a:lumMod val="15000"/>
                  <a:lumOff val="85000"/>
                </a:schemeClr>
              </a:solidFill>
              <a:prstDash val="solid"/>
              <a:round/>
            </a:ln>
          </c:spPr>
        </c:majorGridlines>
        <c:numFmt formatCode="[$Rp-421]#,##0"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crossAx val="134334239"/>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legend>
    <c:plotVisOnly val="1"/>
    <c:dispBlanksAs val="gap"/>
    <c:showDLblsOverMax val="1"/>
  </c:chart>
  <c:spPr>
    <a:solidFill>
      <a:schemeClr val="lt1"/>
    </a:solidFill>
    <a:ln w="12700" cap="flat" cmpd="sng" algn="ctr">
      <a:solidFill>
        <a:schemeClr val="accent6"/>
      </a:solidFill>
      <a:prstDash val="solid"/>
      <a:miter lim="800000"/>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[Porto_DashBoard_Excel_Fixed.xlsx]Sheet2!PivotTable12</c:name>
    <c:fmtId val="3"/>
  </c:pivotSource>
  <c:chart>
    <c:title>
      <c:tx>
        <c:rich>
          <a:bodyPr/>
          <a:lstStyle/>
          <a:p>
            <a:r>
              <a:rPr lang="en-US"/>
              <a:t>Total</a:t>
            </a:r>
          </a:p>
        </c:rich>
      </c:tx>
      <c:overlay val="0"/>
      <c:spPr>
        <a:noFill/>
        <a:ln>
          <a:noFill/>
          <a:prstDash val="solid"/>
        </a:ln>
      </c:spPr>
    </c:title>
    <c:autoTitleDeleted val="0"/>
    <c:pivotFmts>
      <c:pivotFmt>
        <c:idx val="0"/>
        <c:spPr>
          <a:solidFill>
            <a:schemeClr val="accent6"/>
          </a:solidFill>
          <a:ln w="19050">
            <a:solidFill>
              <a:schemeClr val="lt1"/>
            </a:solidFill>
            <a:prstDash val="solid"/>
          </a:ln>
          <a:sp3d contourW="25400"/>
        </c:spPr>
        <c:marker>
          <c:symbol val="none"/>
        </c:marker>
        <c:dLbl>
          <c:idx val="0"/>
          <c:delete val="1"/>
          <c:extLst>
            <c:ext xmlns:c15="http://schemas.microsoft.com/office/drawing/2012/chart" uri="{CE6537A1-D6FC-4f65-9D91-7224C49458BB}"/>
          </c:extLst>
        </c:dLbl>
      </c:pivotFmt>
      <c:pivotFmt>
        <c:idx val="1"/>
        <c:spPr>
          <a:solidFill>
            <a:schemeClr val="accent6"/>
          </a:solidFill>
          <a:ln w="19050">
            <a:solidFill>
              <a:schemeClr val="lt1"/>
            </a:solidFill>
            <a:prstDash val="solid"/>
          </a:ln>
          <a:sp3d contourW="25400"/>
        </c:spPr>
        <c:marker>
          <c:symbol val="none"/>
        </c:marker>
        <c:dLbl>
          <c:idx val="0"/>
          <c:delete val="1"/>
          <c:extLst>
            <c:ext xmlns:c15="http://schemas.microsoft.com/office/drawing/2012/chart" uri="{CE6537A1-D6FC-4f65-9D91-7224C49458BB}"/>
          </c:extLst>
        </c:dLbl>
      </c:pivotFmt>
      <c:pivotFmt>
        <c:idx val="2"/>
        <c:spPr>
          <a:solidFill>
            <a:schemeClr val="accent6"/>
          </a:solidFill>
          <a:ln w="19050">
            <a:solidFill>
              <a:schemeClr val="lt1"/>
            </a:solidFill>
            <a:prstDash val="solid"/>
          </a:ln>
          <a:sp3d contourW="25400"/>
        </c:spPr>
      </c:pivotFmt>
      <c:pivotFmt>
        <c:idx val="3"/>
        <c:spPr>
          <a:solidFill>
            <a:schemeClr val="accent6"/>
          </a:solidFill>
          <a:ln w="19050">
            <a:solidFill>
              <a:schemeClr val="lt1"/>
            </a:solidFill>
            <a:prstDash val="solid"/>
          </a:ln>
          <a:sp3d contourW="25400"/>
        </c:spPr>
      </c:pivotFmt>
      <c:pivotFmt>
        <c:idx val="4"/>
        <c:spPr>
          <a:solidFill>
            <a:schemeClr val="accent6"/>
          </a:solidFill>
          <a:ln w="19050">
            <a:solidFill>
              <a:schemeClr val="lt1"/>
            </a:solidFill>
            <a:prstDash val="solid"/>
          </a:ln>
          <a:sp3d contourW="25400"/>
        </c:spPr>
      </c:pivotFmt>
      <c:pivotFmt>
        <c:idx val="5"/>
        <c:spPr>
          <a:ln>
            <a:prstDash val="solid"/>
          </a:ln>
        </c:spPr>
        <c:marker>
          <c:symbol val="none"/>
        </c:marker>
        <c:dLbl>
          <c:idx val="0"/>
          <c:spPr>
            <a:noFill/>
            <a:ln>
              <a:noFill/>
              <a:prstDash val="solid"/>
            </a:ln>
          </c:spPr>
          <c:txPr>
            <a:bodyPr rot="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25400">
            <a:solidFill>
              <a:schemeClr val="lt1"/>
            </a:solidFill>
            <a:prstDash val="solid"/>
          </a:ln>
          <a:sp3d contourW="25400"/>
        </c:spPr>
      </c:pivotFmt>
      <c:pivotFmt>
        <c:idx val="7"/>
        <c:spPr>
          <a:solidFill>
            <a:schemeClr val="accent5"/>
          </a:solidFill>
          <a:ln w="25400">
            <a:solidFill>
              <a:schemeClr val="lt1"/>
            </a:solidFill>
            <a:prstDash val="solid"/>
          </a:ln>
          <a:sp3d contourW="25400"/>
        </c:spPr>
      </c:pivotFmt>
      <c:pivotFmt>
        <c:idx val="8"/>
        <c:spPr>
          <a:solidFill>
            <a:schemeClr val="accent4"/>
          </a:solidFill>
          <a:ln w="25400">
            <a:solidFill>
              <a:schemeClr val="lt1"/>
            </a:solidFill>
            <a:prstDash val="solid"/>
          </a:ln>
          <a:sp3d contourW="25400"/>
        </c:spPr>
      </c:pivotFmt>
    </c:pivotFmts>
    <c:view3D>
      <c:rotX val="15"/>
      <c:rotY val="0"/>
      <c:rAngAx val="0"/>
    </c:view3D>
    <c:floor>
      <c:thickness val="0"/>
    </c:floor>
    <c:sideWall>
      <c:thickness val="0"/>
    </c:sideWall>
    <c:backWall>
      <c:thickness val="0"/>
    </c:backWall>
    <c:plotArea>
      <c:layout/>
      <c:pie3DChart>
        <c:varyColors val="1"/>
        <c:ser>
          <c:idx val="0"/>
          <c:order val="0"/>
          <c:tx>
            <c:strRef>
              <c:f>Sheet2!$B$71</c:f>
              <c:strCache>
                <c:ptCount val="1"/>
                <c:pt idx="0">
                  <c:v>Total</c:v>
                </c:pt>
              </c:strCache>
            </c:strRef>
          </c:tx>
          <c:spPr>
            <a:ln>
              <a:prstDash val="solid"/>
            </a:ln>
          </c:spPr>
          <c:dPt>
            <c:idx val="0"/>
            <c:bubble3D val="0"/>
            <c:spPr>
              <a:solidFill>
                <a:schemeClr val="accent6"/>
              </a:solidFill>
              <a:ln w="25400">
                <a:solidFill>
                  <a:schemeClr val="lt1"/>
                </a:solidFill>
                <a:prstDash val="solid"/>
              </a:ln>
              <a:sp3d contourW="25400"/>
            </c:spPr>
            <c:extLst>
              <c:ext xmlns:c16="http://schemas.microsoft.com/office/drawing/2014/chart" uri="{C3380CC4-5D6E-409C-BE32-E72D297353CC}">
                <c16:uniqueId val="{00000001-48E5-470E-B1C6-B90A644DD519}"/>
              </c:ext>
            </c:extLst>
          </c:dPt>
          <c:dPt>
            <c:idx val="1"/>
            <c:bubble3D val="0"/>
            <c:spPr>
              <a:solidFill>
                <a:schemeClr val="accent5"/>
              </a:solidFill>
              <a:ln w="25400">
                <a:solidFill>
                  <a:schemeClr val="lt1"/>
                </a:solidFill>
                <a:prstDash val="solid"/>
              </a:ln>
              <a:sp3d contourW="25400"/>
            </c:spPr>
            <c:extLst>
              <c:ext xmlns:c16="http://schemas.microsoft.com/office/drawing/2014/chart" uri="{C3380CC4-5D6E-409C-BE32-E72D297353CC}">
                <c16:uniqueId val="{00000003-48E5-470E-B1C6-B90A644DD519}"/>
              </c:ext>
            </c:extLst>
          </c:dPt>
          <c:dPt>
            <c:idx val="2"/>
            <c:bubble3D val="0"/>
            <c:spPr>
              <a:solidFill>
                <a:schemeClr val="accent4"/>
              </a:solidFill>
              <a:ln w="25400">
                <a:solidFill>
                  <a:schemeClr val="lt1"/>
                </a:solidFill>
                <a:prstDash val="solid"/>
              </a:ln>
              <a:sp3d contourW="25400"/>
            </c:spPr>
            <c:extLst>
              <c:ext xmlns:c16="http://schemas.microsoft.com/office/drawing/2014/chart" uri="{C3380CC4-5D6E-409C-BE32-E72D297353CC}">
                <c16:uniqueId val="{00000005-48E5-470E-B1C6-B90A644DD519}"/>
              </c:ext>
            </c:extLst>
          </c:dPt>
          <c:dLbls>
            <c:spPr>
              <a:noFill/>
              <a:ln>
                <a:noFill/>
                <a:prstDash val="solid"/>
              </a:ln>
            </c:spPr>
            <c:txPr>
              <a:bodyPr rot="0" spcFirstLastPara="1" vertOverflow="ellipsis" vert="horz" wrap="square" anchor="ctr" anchorCtr="1"/>
              <a:lstStyle/>
              <a:p>
                <a:pPr>
                  <a:defRPr sz="900" b="0" i="0"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Sheet2!$A$72:$A$75</c:f>
              <c:strCache>
                <c:ptCount val="3"/>
                <c:pt idx="0">
                  <c:v>anto</c:v>
                </c:pt>
                <c:pt idx="1">
                  <c:v>Rudi</c:v>
                </c:pt>
                <c:pt idx="2">
                  <c:v>Tono</c:v>
                </c:pt>
              </c:strCache>
            </c:strRef>
          </c:cat>
          <c:val>
            <c:numRef>
              <c:f>Sheet2!$B$72:$B$75</c:f>
              <c:numCache>
                <c:formatCode>_(* #,##0_);_(* \(#,##0\);_(* "-"_);_(@_)</c:formatCode>
                <c:ptCount val="3"/>
                <c:pt idx="0">
                  <c:v>457750000</c:v>
                </c:pt>
                <c:pt idx="1">
                  <c:v>551650000</c:v>
                </c:pt>
                <c:pt idx="2">
                  <c:v>55050000</c:v>
                </c:pt>
              </c:numCache>
            </c:numRef>
          </c:val>
          <c:extLst>
            <c:ext xmlns:c16="http://schemas.microsoft.com/office/drawing/2014/chart" uri="{C3380CC4-5D6E-409C-BE32-E72D297353CC}">
              <c16:uniqueId val="{00000006-48E5-470E-B1C6-B90A644DD519}"/>
            </c:ext>
          </c:extLst>
        </c:ser>
        <c:dLbls>
          <c:showLegendKey val="0"/>
          <c:showVal val="0"/>
          <c:showCatName val="1"/>
          <c:showSerName val="0"/>
          <c:showPercent val="1"/>
          <c:showBubbleSize val="0"/>
          <c:showLeaderLines val="1"/>
        </c:dLbls>
      </c:pie3DChart>
    </c:plotArea>
    <c:plotVisOnly val="1"/>
    <c:dispBlanksAs val="gap"/>
    <c:showDLblsOverMax val="1"/>
  </c:chart>
  <c:spPr>
    <a:solidFill>
      <a:schemeClr val="lt1"/>
    </a:solidFill>
    <a:ln w="12700" cap="flat" cmpd="sng" algn="ctr">
      <a:solidFill>
        <a:schemeClr val="accent6"/>
      </a:solidFill>
      <a:prstDash val="solid"/>
      <a:miter lim="800000"/>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434340</xdr:colOff>
      <xdr:row>6</xdr:row>
      <xdr:rowOff>45720</xdr:rowOff>
    </xdr:from>
    <xdr:to>
      <xdr:col>11</xdr:col>
      <xdr:colOff>129540</xdr:colOff>
      <xdr:row>21</xdr:row>
      <xdr:rowOff>45720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335280</xdr:colOff>
      <xdr:row>22</xdr:row>
      <xdr:rowOff>53340</xdr:rowOff>
    </xdr:from>
    <xdr:to>
      <xdr:col>13</xdr:col>
      <xdr:colOff>388620</xdr:colOff>
      <xdr:row>37</xdr:row>
      <xdr:rowOff>53340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53340</xdr:colOff>
      <xdr:row>38</xdr:row>
      <xdr:rowOff>167640</xdr:rowOff>
    </xdr:from>
    <xdr:to>
      <xdr:col>14</xdr:col>
      <xdr:colOff>358140</xdr:colOff>
      <xdr:row>53</xdr:row>
      <xdr:rowOff>167640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443049</xdr:colOff>
      <xdr:row>39</xdr:row>
      <xdr:rowOff>9796</xdr:rowOff>
    </xdr:from>
    <xdr:to>
      <xdr:col>22</xdr:col>
      <xdr:colOff>138249</xdr:colOff>
      <xdr:row>54</xdr:row>
      <xdr:rowOff>9797</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335280</xdr:colOff>
      <xdr:row>69</xdr:row>
      <xdr:rowOff>45720</xdr:rowOff>
    </xdr:from>
    <xdr:to>
      <xdr:col>10</xdr:col>
      <xdr:colOff>281940</xdr:colOff>
      <xdr:row>84</xdr:row>
      <xdr:rowOff>45720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331405</xdr:colOff>
      <xdr:row>7</xdr:row>
      <xdr:rowOff>122348</xdr:rowOff>
    </xdr:from>
    <xdr:to>
      <xdr:col>12</xdr:col>
      <xdr:colOff>395110</xdr:colOff>
      <xdr:row>23</xdr:row>
      <xdr:rowOff>98778</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329451</xdr:colOff>
      <xdr:row>23</xdr:row>
      <xdr:rowOff>106974</xdr:rowOff>
    </xdr:from>
    <xdr:to>
      <xdr:col>12</xdr:col>
      <xdr:colOff>366889</xdr:colOff>
      <xdr:row>45</xdr:row>
      <xdr:rowOff>70556</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396094</xdr:colOff>
      <xdr:row>29</xdr:row>
      <xdr:rowOff>139668</xdr:rowOff>
    </xdr:from>
    <xdr:to>
      <xdr:col>21</xdr:col>
      <xdr:colOff>547687</xdr:colOff>
      <xdr:row>45</xdr:row>
      <xdr:rowOff>35719</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397581</xdr:colOff>
      <xdr:row>7</xdr:row>
      <xdr:rowOff>135140</xdr:rowOff>
    </xdr:from>
    <xdr:to>
      <xdr:col>21</xdr:col>
      <xdr:colOff>542191</xdr:colOff>
      <xdr:row>29</xdr:row>
      <xdr:rowOff>87922</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84668</xdr:colOff>
      <xdr:row>32</xdr:row>
      <xdr:rowOff>8099</xdr:rowOff>
    </xdr:from>
    <xdr:to>
      <xdr:col>5</xdr:col>
      <xdr:colOff>302383</xdr:colOff>
      <xdr:row>45</xdr:row>
      <xdr:rowOff>95688</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81280</xdr:colOff>
      <xdr:row>7</xdr:row>
      <xdr:rowOff>154940</xdr:rowOff>
    </xdr:from>
    <xdr:to>
      <xdr:col>5</xdr:col>
      <xdr:colOff>304800</xdr:colOff>
      <xdr:row>15</xdr:row>
      <xdr:rowOff>114300</xdr:rowOff>
    </xdr:to>
    <mc:AlternateContent xmlns:mc="http://schemas.openxmlformats.org/markup-compatibility/2006" xmlns:tsle="http://schemas.microsoft.com/office/drawing/2012/timeslicer">
      <mc:Choice Requires="tsle">
        <xdr:graphicFrame macro="">
          <xdr:nvGraphicFramePr>
            <xdr:cNvPr id="7" name="Tanggal">
              <a:extLst>
                <a:ext uri="{FF2B5EF4-FFF2-40B4-BE49-F238E27FC236}">
                  <a16:creationId xmlns:a16="http://schemas.microsoft.com/office/drawing/2014/main" id="{D1C590B1-6374-901A-244A-A855F3988535}"/>
                </a:ext>
              </a:extLst>
            </xdr:cNvPr>
            <xdr:cNvGraphicFramePr/>
          </xdr:nvGraphicFramePr>
          <xdr:xfrm>
            <a:off x="0" y="0"/>
            <a:ext cx="0" cy="0"/>
          </xdr:xfrm>
          <a:graphic>
            <a:graphicData uri="http://schemas.microsoft.com/office/drawing/2012/timeslicer">
              <tsle:timeslicer name="Tanggal"/>
            </a:graphicData>
          </a:graphic>
        </xdr:graphicFrame>
      </mc:Choice>
      <mc:Fallback xmlns="">
        <xdr:sp macro="" textlink="">
          <xdr:nvSpPr>
            <xdr:cNvPr id="0" name=""/>
            <xdr:cNvSpPr>
              <a:spLocks noTextEdit="1"/>
            </xdr:cNvSpPr>
          </xdr:nvSpPr>
          <xdr:spPr>
            <a:xfrm>
              <a:off x="81280" y="1691640"/>
              <a:ext cx="4706620" cy="13817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25400</xdr:colOff>
      <xdr:row>15</xdr:row>
      <xdr:rowOff>134621</xdr:rowOff>
    </xdr:from>
    <xdr:to>
      <xdr:col>2</xdr:col>
      <xdr:colOff>1219200</xdr:colOff>
      <xdr:row>22</xdr:row>
      <xdr:rowOff>127001</xdr:rowOff>
    </xdr:to>
    <mc:AlternateContent xmlns:mc="http://schemas.openxmlformats.org/markup-compatibility/2006" xmlns:a14="http://schemas.microsoft.com/office/drawing/2010/main">
      <mc:Choice Requires="a14">
        <xdr:graphicFrame macro="">
          <xdr:nvGraphicFramePr>
            <xdr:cNvPr id="8" name="Sales">
              <a:extLst>
                <a:ext uri="{FF2B5EF4-FFF2-40B4-BE49-F238E27FC236}">
                  <a16:creationId xmlns:a16="http://schemas.microsoft.com/office/drawing/2014/main" id="{E6130605-C64B-7081-36F1-54CDEC74D725}"/>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25400" y="3093721"/>
              <a:ext cx="2413000" cy="1236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1229360</xdr:colOff>
      <xdr:row>15</xdr:row>
      <xdr:rowOff>119380</xdr:rowOff>
    </xdr:from>
    <xdr:to>
      <xdr:col>5</xdr:col>
      <xdr:colOff>279400</xdr:colOff>
      <xdr:row>22</xdr:row>
      <xdr:rowOff>152399</xdr:rowOff>
    </xdr:to>
    <mc:AlternateContent xmlns:mc="http://schemas.openxmlformats.org/markup-compatibility/2006" xmlns:a14="http://schemas.microsoft.com/office/drawing/2010/main">
      <mc:Choice Requires="a14">
        <xdr:graphicFrame macro="">
          <xdr:nvGraphicFramePr>
            <xdr:cNvPr id="9" name="Sumber Material">
              <a:extLst>
                <a:ext uri="{FF2B5EF4-FFF2-40B4-BE49-F238E27FC236}">
                  <a16:creationId xmlns:a16="http://schemas.microsoft.com/office/drawing/2014/main" id="{A83683ED-905C-CA27-FD47-ED90D19863EC}"/>
                </a:ext>
              </a:extLst>
            </xdr:cNvPr>
            <xdr:cNvGraphicFramePr/>
          </xdr:nvGraphicFramePr>
          <xdr:xfrm>
            <a:off x="0" y="0"/>
            <a:ext cx="0" cy="0"/>
          </xdr:xfrm>
          <a:graphic>
            <a:graphicData uri="http://schemas.microsoft.com/office/drawing/2010/slicer">
              <sle:slicer xmlns:sle="http://schemas.microsoft.com/office/drawing/2010/slicer" name="Sumber Material"/>
            </a:graphicData>
          </a:graphic>
        </xdr:graphicFrame>
      </mc:Choice>
      <mc:Fallback xmlns="">
        <xdr:sp macro="" textlink="">
          <xdr:nvSpPr>
            <xdr:cNvPr id="0" name=""/>
            <xdr:cNvSpPr>
              <a:spLocks noTextEdit="1"/>
            </xdr:cNvSpPr>
          </xdr:nvSpPr>
          <xdr:spPr>
            <a:xfrm>
              <a:off x="2448560" y="3078480"/>
              <a:ext cx="2313940" cy="1277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23</xdr:row>
      <xdr:rowOff>78740</xdr:rowOff>
    </xdr:from>
    <xdr:to>
      <xdr:col>5</xdr:col>
      <xdr:colOff>355600</xdr:colOff>
      <xdr:row>31</xdr:row>
      <xdr:rowOff>177799</xdr:rowOff>
    </xdr:to>
    <mc:AlternateContent xmlns:mc="http://schemas.openxmlformats.org/markup-compatibility/2006" xmlns:a14="http://schemas.microsoft.com/office/drawing/2010/main">
      <mc:Choice Requires="a14">
        <xdr:graphicFrame macro="">
          <xdr:nvGraphicFramePr>
            <xdr:cNvPr id="10" name="Material">
              <a:extLst>
                <a:ext uri="{FF2B5EF4-FFF2-40B4-BE49-F238E27FC236}">
                  <a16:creationId xmlns:a16="http://schemas.microsoft.com/office/drawing/2014/main" id="{EDC76DF2-03FB-79F5-DDFC-61111DEC7613}"/>
                </a:ext>
              </a:extLst>
            </xdr:cNvPr>
            <xdr:cNvGraphicFramePr/>
          </xdr:nvGraphicFramePr>
          <xdr:xfrm>
            <a:off x="0" y="0"/>
            <a:ext cx="0" cy="0"/>
          </xdr:xfrm>
          <a:graphic>
            <a:graphicData uri="http://schemas.microsoft.com/office/drawing/2010/slicer">
              <sle:slicer xmlns:sle="http://schemas.microsoft.com/office/drawing/2010/slicer" name="Material"/>
            </a:graphicData>
          </a:graphic>
        </xdr:graphicFrame>
      </mc:Choice>
      <mc:Fallback xmlns="">
        <xdr:sp macro="" textlink="">
          <xdr:nvSpPr>
            <xdr:cNvPr id="0" name=""/>
            <xdr:cNvSpPr>
              <a:spLocks noTextEdit="1"/>
            </xdr:cNvSpPr>
          </xdr:nvSpPr>
          <xdr:spPr>
            <a:xfrm>
              <a:off x="50800" y="4460240"/>
              <a:ext cx="4787900" cy="1521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45.435419675923" createdVersion="8" refreshedVersion="8" minRefreshableVersion="3" recordCount="213" xr:uid="{00000000-000A-0000-FFFF-FFFF00000000}">
  <cacheSource type="worksheet">
    <worksheetSource name="Table1"/>
  </cacheSource>
  <cacheFields count="12">
    <cacheField name="Tanggal" numFmtId="14">
      <sharedItems containsSemiMixedTypes="0" containsNonDate="0" containsDate="1" containsString="0" minDate="2025-01-01T00:00:00" maxDate="2025-08-01T00:00:00" count="212">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sharedItems>
      <fieldGroup par="11"/>
    </cacheField>
    <cacheField name="Sales" numFmtId="0">
      <sharedItems count="3">
        <s v="anto"/>
        <s v="Tono"/>
        <s v="Rudi"/>
      </sharedItems>
    </cacheField>
    <cacheField name="Sumber Material" numFmtId="0">
      <sharedItems count="3">
        <s v="Gunung Merapi"/>
        <s v="Magelang"/>
        <s v="Temanggung"/>
      </sharedItems>
    </cacheField>
    <cacheField name="Material" numFmtId="0">
      <sharedItems count="3">
        <s v="Pasir"/>
        <s v="Batu Kali"/>
        <s v="Kerikil"/>
      </sharedItems>
    </cacheField>
    <cacheField name="Volume" numFmtId="41">
      <sharedItems containsSemiMixedTypes="0" containsString="0" containsNumber="1" containsInteger="1" minValue="40" maxValue="5000"/>
    </cacheField>
    <cacheField name="Harga satuan pembelian" numFmtId="41">
      <sharedItems containsSemiMixedTypes="0" containsString="0" containsNumber="1" containsInteger="1" minValue="85000" maxValue="215000"/>
    </cacheField>
    <cacheField name="Total pembelian" numFmtId="41">
      <sharedItems containsSemiMixedTypes="0" containsString="0" containsNumber="1" containsInteger="1" minValue="3800000" maxValue="625000000"/>
    </cacheField>
    <cacheField name="Harga satuan penjualan" numFmtId="41">
      <sharedItems containsSemiMixedTypes="0" containsString="0" containsNumber="1" containsInteger="1" minValue="210000" maxValue="225000"/>
    </cacheField>
    <cacheField name="Total Penjualan" numFmtId="41">
      <sharedItems containsSemiMixedTypes="0" containsString="0" containsNumber="1" containsInteger="1" minValue="8400000" maxValue="1050000000"/>
    </cacheField>
    <cacheField name="Laba" numFmtId="41">
      <sharedItems containsSemiMixedTypes="0" containsString="0" containsNumber="1" containsInteger="1" minValue="-450000" maxValue="425000000"/>
    </cacheField>
    <cacheField name="Days (Tanggal)" numFmtId="0" databaseField="0">
      <fieldGroup base="0">
        <rangePr groupBy="days" startDate="2025-01-01T00:00:00" endDate="2025-08-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1/2025"/>
        </groupItems>
      </fieldGroup>
    </cacheField>
    <cacheField name="Months (Tanggal)" numFmtId="0" databaseField="0">
      <fieldGroup base="0">
        <rangePr groupBy="months" startDate="2025-01-01T00:00:00" endDate="2025-08-01T00:00:00"/>
        <groupItems count="14">
          <s v="&lt;1/1/2025"/>
          <s v="Jan"/>
          <s v="Feb"/>
          <s v="Mar"/>
          <s v="Apr"/>
          <s v="May"/>
          <s v="Jun"/>
          <s v="Jul"/>
          <s v="Aug"/>
          <s v="Sep"/>
          <s v="Oct"/>
          <s v="Nov"/>
          <s v="Dec"/>
          <s v="&gt;8/1/2025"/>
        </groupItems>
      </fieldGroup>
    </cacheField>
  </cacheFields>
  <extLst>
    <ext xmlns:x14="http://schemas.microsoft.com/office/spreadsheetml/2009/9/main" uri="{725AE2AE-9491-48be-B2B4-4EB974FC3084}">
      <x14:pivotCacheDefinition pivotCacheId="1767854247"/>
    </ext>
  </extLst>
</pivotCacheDefinition>
</file>

<file path=xl/pivotCache/pivotCacheRecords1.xml><?xml version="1.0" encoding="utf-8"?>
<pivotCacheRecords xmlns="http://schemas.openxmlformats.org/spreadsheetml/2006/main" count="213">
  <r>
    <x v="0"/>
    <x v="0"/>
    <x v="0"/>
    <x v="0"/>
    <n v="80"/>
    <n v="195000"/>
    <n v="15600000"/>
    <n v="225000"/>
    <n v="18000000"/>
    <n v="2400000"/>
  </r>
  <r>
    <x v="1"/>
    <x v="0"/>
    <x v="0"/>
    <x v="1"/>
    <n v="50"/>
    <n v="115000"/>
    <n v="5750000"/>
    <n v="210000"/>
    <n v="10500000"/>
    <n v="4750000"/>
  </r>
  <r>
    <x v="2"/>
    <x v="0"/>
    <x v="0"/>
    <x v="2"/>
    <n v="60"/>
    <n v="135000"/>
    <n v="8100000"/>
    <n v="210000"/>
    <n v="12600000"/>
    <n v="4500000"/>
  </r>
  <r>
    <x v="3"/>
    <x v="0"/>
    <x v="0"/>
    <x v="0"/>
    <n v="50"/>
    <n v="145000"/>
    <n v="7250000"/>
    <n v="225000"/>
    <n v="11250000"/>
    <n v="4000000"/>
  </r>
  <r>
    <x v="4"/>
    <x v="0"/>
    <x v="0"/>
    <x v="1"/>
    <n v="80"/>
    <n v="155000"/>
    <n v="12400000"/>
    <n v="210000"/>
    <n v="16800000"/>
    <n v="4400000"/>
  </r>
  <r>
    <x v="5"/>
    <x v="0"/>
    <x v="0"/>
    <x v="2"/>
    <n v="80"/>
    <n v="85000"/>
    <n v="6800000"/>
    <n v="210000"/>
    <n v="16800000"/>
    <n v="10000000"/>
  </r>
  <r>
    <x v="6"/>
    <x v="0"/>
    <x v="0"/>
    <x v="0"/>
    <n v="60"/>
    <n v="165000"/>
    <n v="9900000"/>
    <n v="225000"/>
    <n v="13500000"/>
    <n v="3600000"/>
  </r>
  <r>
    <x v="7"/>
    <x v="1"/>
    <x v="0"/>
    <x v="1"/>
    <n v="40"/>
    <n v="145000"/>
    <n v="5800000"/>
    <n v="210000"/>
    <n v="8400000"/>
    <n v="2600000"/>
  </r>
  <r>
    <x v="8"/>
    <x v="2"/>
    <x v="0"/>
    <x v="2"/>
    <n v="40"/>
    <n v="115000"/>
    <n v="4600000"/>
    <n v="210000"/>
    <n v="8400000"/>
    <n v="3800000"/>
  </r>
  <r>
    <x v="9"/>
    <x v="2"/>
    <x v="0"/>
    <x v="0"/>
    <n v="80"/>
    <n v="95000"/>
    <n v="7600000"/>
    <n v="225000"/>
    <n v="18000000"/>
    <n v="10400000"/>
  </r>
  <r>
    <x v="10"/>
    <x v="0"/>
    <x v="0"/>
    <x v="1"/>
    <n v="80"/>
    <n v="95000"/>
    <n v="7600000"/>
    <n v="210000"/>
    <n v="16800000"/>
    <n v="9200000"/>
  </r>
  <r>
    <x v="11"/>
    <x v="0"/>
    <x v="0"/>
    <x v="2"/>
    <n v="70"/>
    <n v="125000"/>
    <n v="8750000"/>
    <n v="210000"/>
    <n v="14700000"/>
    <n v="5950000"/>
  </r>
  <r>
    <x v="12"/>
    <x v="0"/>
    <x v="1"/>
    <x v="0"/>
    <n v="50"/>
    <n v="185000"/>
    <n v="9250000"/>
    <n v="225000"/>
    <n v="11250000"/>
    <n v="2000000"/>
  </r>
  <r>
    <x v="13"/>
    <x v="0"/>
    <x v="1"/>
    <x v="1"/>
    <n v="50"/>
    <n v="155000"/>
    <n v="7750000"/>
    <n v="210000"/>
    <n v="10500000"/>
    <n v="2750000"/>
  </r>
  <r>
    <x v="14"/>
    <x v="0"/>
    <x v="1"/>
    <x v="2"/>
    <n v="80"/>
    <n v="105000"/>
    <n v="8400000"/>
    <n v="210000"/>
    <n v="16800000"/>
    <n v="8400000"/>
  </r>
  <r>
    <x v="15"/>
    <x v="0"/>
    <x v="1"/>
    <x v="0"/>
    <n v="50"/>
    <n v="195000"/>
    <n v="9750000"/>
    <n v="225000"/>
    <n v="11250000"/>
    <n v="1500000"/>
  </r>
  <r>
    <x v="16"/>
    <x v="0"/>
    <x v="2"/>
    <x v="1"/>
    <n v="60"/>
    <n v="125000"/>
    <n v="7500000"/>
    <n v="210000"/>
    <n v="12600000"/>
    <n v="5100000"/>
  </r>
  <r>
    <x v="17"/>
    <x v="1"/>
    <x v="2"/>
    <x v="2"/>
    <n v="80"/>
    <n v="185000"/>
    <n v="14800000"/>
    <n v="210000"/>
    <n v="16800000"/>
    <n v="2000000"/>
  </r>
  <r>
    <x v="18"/>
    <x v="2"/>
    <x v="2"/>
    <x v="0"/>
    <n v="60"/>
    <n v="205000"/>
    <n v="12300000"/>
    <n v="225000"/>
    <n v="13500000"/>
    <n v="1200000"/>
  </r>
  <r>
    <x v="19"/>
    <x v="2"/>
    <x v="2"/>
    <x v="1"/>
    <n v="70"/>
    <n v="115000"/>
    <n v="8050000"/>
    <n v="210000"/>
    <n v="14700000"/>
    <n v="6650000"/>
  </r>
  <r>
    <x v="20"/>
    <x v="1"/>
    <x v="1"/>
    <x v="2"/>
    <n v="50"/>
    <n v="185000"/>
    <n v="9250000"/>
    <n v="210000"/>
    <n v="10500000"/>
    <n v="1250000"/>
  </r>
  <r>
    <x v="21"/>
    <x v="1"/>
    <x v="1"/>
    <x v="0"/>
    <n v="50"/>
    <n v="145000"/>
    <n v="7250000"/>
    <n v="225000"/>
    <n v="11250000"/>
    <n v="4000000"/>
  </r>
  <r>
    <x v="22"/>
    <x v="0"/>
    <x v="1"/>
    <x v="1"/>
    <n v="70"/>
    <n v="125000"/>
    <n v="8750000"/>
    <n v="210000"/>
    <n v="14700000"/>
    <n v="5950000"/>
  </r>
  <r>
    <x v="23"/>
    <x v="0"/>
    <x v="1"/>
    <x v="2"/>
    <n v="60"/>
    <n v="85000"/>
    <n v="5100000"/>
    <n v="210000"/>
    <n v="12600000"/>
    <n v="7500000"/>
  </r>
  <r>
    <x v="24"/>
    <x v="0"/>
    <x v="1"/>
    <x v="0"/>
    <n v="90"/>
    <n v="185000"/>
    <n v="16650000"/>
    <n v="225000"/>
    <n v="20250000"/>
    <n v="3600000"/>
  </r>
  <r>
    <x v="25"/>
    <x v="0"/>
    <x v="1"/>
    <x v="1"/>
    <n v="50"/>
    <n v="145000"/>
    <n v="7250000"/>
    <n v="210000"/>
    <n v="10500000"/>
    <n v="3250000"/>
  </r>
  <r>
    <x v="26"/>
    <x v="0"/>
    <x v="1"/>
    <x v="2"/>
    <n v="70"/>
    <n v="155000"/>
    <n v="10850000"/>
    <n v="210000"/>
    <n v="14700000"/>
    <n v="3850000"/>
  </r>
  <r>
    <x v="27"/>
    <x v="0"/>
    <x v="1"/>
    <x v="0"/>
    <n v="50"/>
    <n v="175000"/>
    <n v="8750000"/>
    <n v="225000"/>
    <n v="11250000"/>
    <n v="2500000"/>
  </r>
  <r>
    <x v="28"/>
    <x v="0"/>
    <x v="1"/>
    <x v="1"/>
    <n v="70"/>
    <n v="195000"/>
    <n v="13650000"/>
    <n v="210000"/>
    <n v="14700000"/>
    <n v="1050000"/>
  </r>
  <r>
    <x v="29"/>
    <x v="1"/>
    <x v="1"/>
    <x v="2"/>
    <n v="60"/>
    <n v="185000"/>
    <n v="11100000"/>
    <n v="210000"/>
    <n v="12600000"/>
    <n v="1500000"/>
  </r>
  <r>
    <x v="30"/>
    <x v="2"/>
    <x v="1"/>
    <x v="0"/>
    <n v="70"/>
    <n v="165000"/>
    <n v="11550000"/>
    <n v="225000"/>
    <n v="15750000"/>
    <n v="4200000"/>
  </r>
  <r>
    <x v="31"/>
    <x v="2"/>
    <x v="1"/>
    <x v="1"/>
    <n v="50"/>
    <n v="185000"/>
    <n v="9250000"/>
    <n v="210000"/>
    <n v="10500000"/>
    <n v="1250000"/>
  </r>
  <r>
    <x v="32"/>
    <x v="0"/>
    <x v="0"/>
    <x v="2"/>
    <n v="40"/>
    <n v="95000"/>
    <n v="3800000"/>
    <n v="210000"/>
    <n v="8400000"/>
    <n v="4600000"/>
  </r>
  <r>
    <x v="33"/>
    <x v="0"/>
    <x v="0"/>
    <x v="0"/>
    <n v="60"/>
    <n v="115000"/>
    <n v="6900000"/>
    <n v="225000"/>
    <n v="13500000"/>
    <n v="6600000"/>
  </r>
  <r>
    <x v="34"/>
    <x v="0"/>
    <x v="0"/>
    <x v="1"/>
    <n v="50"/>
    <n v="135000"/>
    <n v="6750000"/>
    <n v="210000"/>
    <n v="10500000"/>
    <n v="3750000"/>
  </r>
  <r>
    <x v="35"/>
    <x v="0"/>
    <x v="0"/>
    <x v="2"/>
    <n v="70"/>
    <n v="205000"/>
    <n v="14350000"/>
    <n v="210000"/>
    <n v="14700000"/>
    <n v="350000"/>
  </r>
  <r>
    <x v="36"/>
    <x v="0"/>
    <x v="0"/>
    <x v="0"/>
    <n v="40"/>
    <n v="155000"/>
    <n v="6200000"/>
    <n v="225000"/>
    <n v="9000000"/>
    <n v="2800000"/>
  </r>
  <r>
    <x v="37"/>
    <x v="0"/>
    <x v="0"/>
    <x v="1"/>
    <n v="80"/>
    <n v="175000"/>
    <n v="14000000"/>
    <n v="210000"/>
    <n v="16800000"/>
    <n v="2800000"/>
  </r>
  <r>
    <x v="38"/>
    <x v="0"/>
    <x v="0"/>
    <x v="2"/>
    <n v="50"/>
    <n v="145000"/>
    <n v="7250000"/>
    <n v="210000"/>
    <n v="10500000"/>
    <n v="3250000"/>
  </r>
  <r>
    <x v="39"/>
    <x v="1"/>
    <x v="0"/>
    <x v="0"/>
    <n v="90"/>
    <n v="205000"/>
    <n v="18450000"/>
    <n v="225000"/>
    <n v="20250000"/>
    <n v="1800000"/>
  </r>
  <r>
    <x v="40"/>
    <x v="2"/>
    <x v="0"/>
    <x v="1"/>
    <n v="90"/>
    <n v="215000"/>
    <n v="19350000"/>
    <n v="210000"/>
    <n v="18900000"/>
    <n v="-450000"/>
  </r>
  <r>
    <x v="41"/>
    <x v="2"/>
    <x v="0"/>
    <x v="2"/>
    <n v="60"/>
    <n v="185000"/>
    <n v="11100000"/>
    <n v="210000"/>
    <n v="12600000"/>
    <n v="1500000"/>
  </r>
  <r>
    <x v="42"/>
    <x v="0"/>
    <x v="0"/>
    <x v="0"/>
    <n v="70"/>
    <n v="115000"/>
    <n v="8050000"/>
    <n v="225000"/>
    <n v="15750000"/>
    <n v="7700000"/>
  </r>
  <r>
    <x v="43"/>
    <x v="0"/>
    <x v="0"/>
    <x v="1"/>
    <n v="80"/>
    <n v="115000"/>
    <n v="9200000"/>
    <n v="210000"/>
    <n v="16800000"/>
    <n v="7600000"/>
  </r>
  <r>
    <x v="44"/>
    <x v="0"/>
    <x v="1"/>
    <x v="2"/>
    <n v="40"/>
    <n v="105000"/>
    <n v="4200000"/>
    <n v="210000"/>
    <n v="8400000"/>
    <n v="4200000"/>
  </r>
  <r>
    <x v="45"/>
    <x v="0"/>
    <x v="1"/>
    <x v="0"/>
    <n v="80"/>
    <n v="135000"/>
    <n v="10800000"/>
    <n v="225000"/>
    <n v="18000000"/>
    <n v="7200000"/>
  </r>
  <r>
    <x v="46"/>
    <x v="0"/>
    <x v="1"/>
    <x v="1"/>
    <n v="60"/>
    <n v="205000"/>
    <n v="12300000"/>
    <n v="210000"/>
    <n v="12600000"/>
    <n v="300000"/>
  </r>
  <r>
    <x v="47"/>
    <x v="0"/>
    <x v="1"/>
    <x v="2"/>
    <n v="70"/>
    <n v="115000"/>
    <n v="8050000"/>
    <n v="210000"/>
    <n v="14700000"/>
    <n v="6650000"/>
  </r>
  <r>
    <x v="48"/>
    <x v="0"/>
    <x v="2"/>
    <x v="0"/>
    <n v="50"/>
    <n v="165000"/>
    <n v="8250000"/>
    <n v="225000"/>
    <n v="11250000"/>
    <n v="3000000"/>
  </r>
  <r>
    <x v="49"/>
    <x v="1"/>
    <x v="2"/>
    <x v="1"/>
    <n v="70"/>
    <n v="115000"/>
    <n v="8050000"/>
    <n v="210000"/>
    <n v="14700000"/>
    <n v="6650000"/>
  </r>
  <r>
    <x v="50"/>
    <x v="2"/>
    <x v="2"/>
    <x v="2"/>
    <n v="60"/>
    <n v="165000"/>
    <n v="9900000"/>
    <n v="210000"/>
    <n v="12600000"/>
    <n v="2700000"/>
  </r>
  <r>
    <x v="51"/>
    <x v="2"/>
    <x v="2"/>
    <x v="0"/>
    <n v="50"/>
    <n v="95000"/>
    <n v="4750000"/>
    <n v="225000"/>
    <n v="11250000"/>
    <n v="6500000"/>
  </r>
  <r>
    <x v="52"/>
    <x v="0"/>
    <x v="0"/>
    <x v="1"/>
    <n v="40"/>
    <n v="205000"/>
    <n v="8200000"/>
    <n v="210000"/>
    <n v="8400000"/>
    <n v="200000"/>
  </r>
  <r>
    <x v="53"/>
    <x v="0"/>
    <x v="0"/>
    <x v="2"/>
    <n v="90"/>
    <n v="145000"/>
    <n v="13050000"/>
    <n v="210000"/>
    <n v="18900000"/>
    <n v="5850000"/>
  </r>
  <r>
    <x v="54"/>
    <x v="0"/>
    <x v="0"/>
    <x v="0"/>
    <n v="50"/>
    <n v="175000"/>
    <n v="8750000"/>
    <n v="225000"/>
    <n v="11250000"/>
    <n v="2500000"/>
  </r>
  <r>
    <x v="55"/>
    <x v="0"/>
    <x v="0"/>
    <x v="1"/>
    <n v="40"/>
    <n v="175000"/>
    <n v="7000000"/>
    <n v="210000"/>
    <n v="8400000"/>
    <n v="1400000"/>
  </r>
  <r>
    <x v="56"/>
    <x v="0"/>
    <x v="0"/>
    <x v="2"/>
    <n v="40"/>
    <n v="115000"/>
    <n v="4600000"/>
    <n v="210000"/>
    <n v="8400000"/>
    <n v="3800000"/>
  </r>
  <r>
    <x v="57"/>
    <x v="0"/>
    <x v="0"/>
    <x v="0"/>
    <n v="80"/>
    <n v="155000"/>
    <n v="12400000"/>
    <n v="225000"/>
    <n v="18000000"/>
    <n v="5600000"/>
  </r>
  <r>
    <x v="58"/>
    <x v="0"/>
    <x v="0"/>
    <x v="1"/>
    <n v="60"/>
    <n v="165000"/>
    <n v="9900000"/>
    <n v="210000"/>
    <n v="12600000"/>
    <n v="2700000"/>
  </r>
  <r>
    <x v="59"/>
    <x v="1"/>
    <x v="0"/>
    <x v="2"/>
    <n v="70"/>
    <n v="165000"/>
    <n v="11550000"/>
    <n v="210000"/>
    <n v="14700000"/>
    <n v="3150000"/>
  </r>
  <r>
    <x v="60"/>
    <x v="2"/>
    <x v="0"/>
    <x v="0"/>
    <n v="50"/>
    <n v="195000"/>
    <n v="9750000"/>
    <n v="225000"/>
    <n v="11250000"/>
    <n v="1500000"/>
  </r>
  <r>
    <x v="61"/>
    <x v="2"/>
    <x v="0"/>
    <x v="1"/>
    <n v="70"/>
    <n v="135000"/>
    <n v="9450000"/>
    <n v="210000"/>
    <n v="14700000"/>
    <n v="5250000"/>
  </r>
  <r>
    <x v="62"/>
    <x v="0"/>
    <x v="0"/>
    <x v="2"/>
    <n v="50"/>
    <n v="135000"/>
    <n v="6750000"/>
    <n v="210000"/>
    <n v="10500000"/>
    <n v="3750000"/>
  </r>
  <r>
    <x v="63"/>
    <x v="0"/>
    <x v="0"/>
    <x v="0"/>
    <n v="60"/>
    <n v="115000"/>
    <n v="6900000"/>
    <n v="225000"/>
    <n v="13500000"/>
    <n v="6600000"/>
  </r>
  <r>
    <x v="64"/>
    <x v="0"/>
    <x v="1"/>
    <x v="1"/>
    <n v="80"/>
    <n v="125000"/>
    <n v="10000000"/>
    <n v="210000"/>
    <n v="16800000"/>
    <n v="6800000"/>
  </r>
  <r>
    <x v="65"/>
    <x v="0"/>
    <x v="1"/>
    <x v="2"/>
    <n v="40"/>
    <n v="115000"/>
    <n v="4600000"/>
    <n v="210000"/>
    <n v="8400000"/>
    <n v="3800000"/>
  </r>
  <r>
    <x v="66"/>
    <x v="0"/>
    <x v="1"/>
    <x v="0"/>
    <n v="70"/>
    <n v="205000"/>
    <n v="14350000"/>
    <n v="225000"/>
    <n v="15750000"/>
    <n v="1400000"/>
  </r>
  <r>
    <x v="67"/>
    <x v="0"/>
    <x v="1"/>
    <x v="1"/>
    <n v="90"/>
    <n v="195000"/>
    <n v="17550000"/>
    <n v="210000"/>
    <n v="18900000"/>
    <n v="1350000"/>
  </r>
  <r>
    <x v="68"/>
    <x v="0"/>
    <x v="2"/>
    <x v="2"/>
    <n v="60"/>
    <n v="205000"/>
    <n v="12300000"/>
    <n v="210000"/>
    <n v="12600000"/>
    <n v="300000"/>
  </r>
  <r>
    <x v="69"/>
    <x v="1"/>
    <x v="2"/>
    <x v="0"/>
    <n v="70"/>
    <n v="215000"/>
    <n v="15050000"/>
    <n v="225000"/>
    <n v="15750000"/>
    <n v="700000"/>
  </r>
  <r>
    <x v="70"/>
    <x v="2"/>
    <x v="2"/>
    <x v="1"/>
    <n v="80"/>
    <n v="105000"/>
    <n v="8400000"/>
    <n v="210000"/>
    <n v="16800000"/>
    <n v="8400000"/>
  </r>
  <r>
    <x v="71"/>
    <x v="2"/>
    <x v="2"/>
    <x v="2"/>
    <n v="40"/>
    <n v="165000"/>
    <n v="6600000"/>
    <n v="210000"/>
    <n v="8400000"/>
    <n v="1800000"/>
  </r>
  <r>
    <x v="72"/>
    <x v="0"/>
    <x v="0"/>
    <x v="0"/>
    <n v="50"/>
    <n v="155000"/>
    <n v="7750000"/>
    <n v="225000"/>
    <n v="11250000"/>
    <n v="3500000"/>
  </r>
  <r>
    <x v="73"/>
    <x v="0"/>
    <x v="0"/>
    <x v="1"/>
    <n v="70"/>
    <n v="135000"/>
    <n v="9450000"/>
    <n v="210000"/>
    <n v="14700000"/>
    <n v="5250000"/>
  </r>
  <r>
    <x v="74"/>
    <x v="0"/>
    <x v="0"/>
    <x v="2"/>
    <n v="60"/>
    <n v="105000"/>
    <n v="6300000"/>
    <n v="210000"/>
    <n v="12600000"/>
    <n v="6300000"/>
  </r>
  <r>
    <x v="75"/>
    <x v="0"/>
    <x v="0"/>
    <x v="0"/>
    <n v="70"/>
    <n v="125000"/>
    <n v="8750000"/>
    <n v="225000"/>
    <n v="15750000"/>
    <n v="7000000"/>
  </r>
  <r>
    <x v="76"/>
    <x v="0"/>
    <x v="0"/>
    <x v="1"/>
    <n v="60"/>
    <n v="205000"/>
    <n v="12300000"/>
    <n v="210000"/>
    <n v="12600000"/>
    <n v="300000"/>
  </r>
  <r>
    <x v="77"/>
    <x v="0"/>
    <x v="0"/>
    <x v="2"/>
    <n v="70"/>
    <n v="105000"/>
    <n v="7350000"/>
    <n v="210000"/>
    <n v="14700000"/>
    <n v="7350000"/>
  </r>
  <r>
    <x v="78"/>
    <x v="0"/>
    <x v="0"/>
    <x v="0"/>
    <n v="70"/>
    <n v="145000"/>
    <n v="10150000"/>
    <n v="225000"/>
    <n v="15750000"/>
    <n v="5600000"/>
  </r>
  <r>
    <x v="79"/>
    <x v="1"/>
    <x v="0"/>
    <x v="1"/>
    <n v="70"/>
    <n v="135000"/>
    <n v="9450000"/>
    <n v="210000"/>
    <n v="14700000"/>
    <n v="5250000"/>
  </r>
  <r>
    <x v="80"/>
    <x v="2"/>
    <x v="0"/>
    <x v="2"/>
    <n v="80"/>
    <n v="195000"/>
    <n v="15600000"/>
    <n v="210000"/>
    <n v="16800000"/>
    <n v="1200000"/>
  </r>
  <r>
    <x v="81"/>
    <x v="2"/>
    <x v="0"/>
    <x v="0"/>
    <n v="50"/>
    <n v="125000"/>
    <n v="6250000"/>
    <n v="225000"/>
    <n v="11250000"/>
    <n v="5000000"/>
  </r>
  <r>
    <x v="82"/>
    <x v="0"/>
    <x v="0"/>
    <x v="1"/>
    <n v="70"/>
    <n v="155000"/>
    <n v="10850000"/>
    <n v="210000"/>
    <n v="14700000"/>
    <n v="3850000"/>
  </r>
  <r>
    <x v="83"/>
    <x v="0"/>
    <x v="0"/>
    <x v="2"/>
    <n v="50"/>
    <n v="105000"/>
    <n v="5250000"/>
    <n v="210000"/>
    <n v="10500000"/>
    <n v="5250000"/>
  </r>
  <r>
    <x v="84"/>
    <x v="0"/>
    <x v="1"/>
    <x v="0"/>
    <n v="50"/>
    <n v="195000"/>
    <n v="9750000"/>
    <n v="225000"/>
    <n v="11250000"/>
    <n v="1500000"/>
  </r>
  <r>
    <x v="85"/>
    <x v="0"/>
    <x v="1"/>
    <x v="1"/>
    <n v="40"/>
    <n v="125000"/>
    <n v="5000000"/>
    <n v="210000"/>
    <n v="8400000"/>
    <n v="3400000"/>
  </r>
  <r>
    <x v="86"/>
    <x v="0"/>
    <x v="1"/>
    <x v="2"/>
    <n v="50"/>
    <n v="205000"/>
    <n v="10250000"/>
    <n v="210000"/>
    <n v="10500000"/>
    <n v="250000"/>
  </r>
  <r>
    <x v="87"/>
    <x v="0"/>
    <x v="1"/>
    <x v="0"/>
    <n v="60"/>
    <n v="105000"/>
    <n v="6300000"/>
    <n v="225000"/>
    <n v="13500000"/>
    <n v="7200000"/>
  </r>
  <r>
    <x v="88"/>
    <x v="0"/>
    <x v="2"/>
    <x v="1"/>
    <n v="70"/>
    <n v="195000"/>
    <n v="13650000"/>
    <n v="210000"/>
    <n v="14700000"/>
    <n v="1050000"/>
  </r>
  <r>
    <x v="89"/>
    <x v="1"/>
    <x v="2"/>
    <x v="2"/>
    <n v="40"/>
    <n v="105000"/>
    <n v="4200000"/>
    <n v="210000"/>
    <n v="8400000"/>
    <n v="4200000"/>
  </r>
  <r>
    <x v="90"/>
    <x v="2"/>
    <x v="2"/>
    <x v="0"/>
    <n v="80"/>
    <n v="95000"/>
    <n v="7600000"/>
    <n v="225000"/>
    <n v="18000000"/>
    <n v="10400000"/>
  </r>
  <r>
    <x v="91"/>
    <x v="2"/>
    <x v="2"/>
    <x v="1"/>
    <n v="80"/>
    <n v="195000"/>
    <n v="15600000"/>
    <n v="210000"/>
    <n v="16800000"/>
    <n v="1200000"/>
  </r>
  <r>
    <x v="92"/>
    <x v="0"/>
    <x v="0"/>
    <x v="2"/>
    <n v="60"/>
    <n v="95000"/>
    <n v="5700000"/>
    <n v="210000"/>
    <n v="12600000"/>
    <n v="6900000"/>
  </r>
  <r>
    <x v="93"/>
    <x v="0"/>
    <x v="0"/>
    <x v="0"/>
    <n v="40"/>
    <n v="155000"/>
    <n v="6200000"/>
    <n v="225000"/>
    <n v="9000000"/>
    <n v="2800000"/>
  </r>
  <r>
    <x v="94"/>
    <x v="0"/>
    <x v="0"/>
    <x v="1"/>
    <n v="80"/>
    <n v="125000"/>
    <n v="10000000"/>
    <n v="210000"/>
    <n v="16800000"/>
    <n v="6800000"/>
  </r>
  <r>
    <x v="95"/>
    <x v="0"/>
    <x v="0"/>
    <x v="2"/>
    <n v="50"/>
    <n v="165000"/>
    <n v="8250000"/>
    <n v="210000"/>
    <n v="10500000"/>
    <n v="2250000"/>
  </r>
  <r>
    <x v="96"/>
    <x v="0"/>
    <x v="0"/>
    <x v="0"/>
    <n v="90"/>
    <n v="195000"/>
    <n v="17550000"/>
    <n v="225000"/>
    <n v="20250000"/>
    <n v="2700000"/>
  </r>
  <r>
    <x v="97"/>
    <x v="0"/>
    <x v="0"/>
    <x v="1"/>
    <n v="90"/>
    <n v="95000"/>
    <n v="8550000"/>
    <n v="210000"/>
    <n v="18900000"/>
    <n v="10350000"/>
  </r>
  <r>
    <x v="98"/>
    <x v="0"/>
    <x v="0"/>
    <x v="2"/>
    <n v="60"/>
    <n v="105000"/>
    <n v="6300000"/>
    <n v="210000"/>
    <n v="12600000"/>
    <n v="6300000"/>
  </r>
  <r>
    <x v="99"/>
    <x v="1"/>
    <x v="0"/>
    <x v="0"/>
    <n v="80"/>
    <n v="145000"/>
    <n v="11600000"/>
    <n v="225000"/>
    <n v="18000000"/>
    <n v="6400000"/>
  </r>
  <r>
    <x v="100"/>
    <x v="2"/>
    <x v="0"/>
    <x v="1"/>
    <n v="80"/>
    <n v="175000"/>
    <n v="14000000"/>
    <n v="210000"/>
    <n v="16800000"/>
    <n v="2800000"/>
  </r>
  <r>
    <x v="101"/>
    <x v="2"/>
    <x v="0"/>
    <x v="2"/>
    <n v="70"/>
    <n v="125000"/>
    <n v="8750000"/>
    <n v="210000"/>
    <n v="14700000"/>
    <n v="5950000"/>
  </r>
  <r>
    <x v="102"/>
    <x v="0"/>
    <x v="0"/>
    <x v="0"/>
    <n v="60"/>
    <n v="165000"/>
    <n v="9900000"/>
    <n v="225000"/>
    <n v="13500000"/>
    <n v="3600000"/>
  </r>
  <r>
    <x v="103"/>
    <x v="0"/>
    <x v="0"/>
    <x v="1"/>
    <n v="40"/>
    <n v="185000"/>
    <n v="7400000"/>
    <n v="210000"/>
    <n v="8400000"/>
    <n v="1000000"/>
  </r>
  <r>
    <x v="104"/>
    <x v="0"/>
    <x v="1"/>
    <x v="2"/>
    <n v="40"/>
    <n v="175000"/>
    <n v="7000000"/>
    <n v="210000"/>
    <n v="8400000"/>
    <n v="1400000"/>
  </r>
  <r>
    <x v="105"/>
    <x v="0"/>
    <x v="1"/>
    <x v="0"/>
    <n v="80"/>
    <n v="165000"/>
    <n v="13200000"/>
    <n v="225000"/>
    <n v="18000000"/>
    <n v="4800000"/>
  </r>
  <r>
    <x v="106"/>
    <x v="0"/>
    <x v="1"/>
    <x v="1"/>
    <n v="80"/>
    <n v="145000"/>
    <n v="11600000"/>
    <n v="210000"/>
    <n v="16800000"/>
    <n v="5200000"/>
  </r>
  <r>
    <x v="107"/>
    <x v="0"/>
    <x v="1"/>
    <x v="2"/>
    <n v="70"/>
    <n v="135000"/>
    <n v="9450000"/>
    <n v="210000"/>
    <n v="14700000"/>
    <n v="5250000"/>
  </r>
  <r>
    <x v="108"/>
    <x v="0"/>
    <x v="2"/>
    <x v="0"/>
    <n v="60"/>
    <n v="145000"/>
    <n v="8700000"/>
    <n v="225000"/>
    <n v="13500000"/>
    <n v="4800000"/>
  </r>
  <r>
    <x v="109"/>
    <x v="1"/>
    <x v="2"/>
    <x v="1"/>
    <n v="80"/>
    <n v="145000"/>
    <n v="11600000"/>
    <n v="210000"/>
    <n v="16800000"/>
    <n v="5200000"/>
  </r>
  <r>
    <x v="110"/>
    <x v="2"/>
    <x v="2"/>
    <x v="2"/>
    <n v="50"/>
    <n v="205000"/>
    <n v="10250000"/>
    <n v="210000"/>
    <n v="10500000"/>
    <n v="250000"/>
  </r>
  <r>
    <x v="111"/>
    <x v="2"/>
    <x v="2"/>
    <x v="0"/>
    <n v="50"/>
    <n v="115000"/>
    <n v="5750000"/>
    <n v="225000"/>
    <n v="11250000"/>
    <n v="5500000"/>
  </r>
  <r>
    <x v="112"/>
    <x v="0"/>
    <x v="0"/>
    <x v="1"/>
    <n v="50"/>
    <n v="215000"/>
    <n v="10750000"/>
    <n v="210000"/>
    <n v="10500000"/>
    <n v="-250000"/>
  </r>
  <r>
    <x v="113"/>
    <x v="0"/>
    <x v="0"/>
    <x v="2"/>
    <n v="90"/>
    <n v="115000"/>
    <n v="10350000"/>
    <n v="210000"/>
    <n v="18900000"/>
    <n v="8550000"/>
  </r>
  <r>
    <x v="114"/>
    <x v="0"/>
    <x v="0"/>
    <x v="0"/>
    <n v="80"/>
    <n v="165000"/>
    <n v="13200000"/>
    <n v="225000"/>
    <n v="18000000"/>
    <n v="4800000"/>
  </r>
  <r>
    <x v="115"/>
    <x v="0"/>
    <x v="0"/>
    <x v="1"/>
    <n v="90"/>
    <n v="145000"/>
    <n v="13050000"/>
    <n v="210000"/>
    <n v="18900000"/>
    <n v="5850000"/>
  </r>
  <r>
    <x v="116"/>
    <x v="0"/>
    <x v="0"/>
    <x v="2"/>
    <n v="40"/>
    <n v="125000"/>
    <n v="5000000"/>
    <n v="210000"/>
    <n v="8400000"/>
    <n v="3400000"/>
  </r>
  <r>
    <x v="117"/>
    <x v="0"/>
    <x v="0"/>
    <x v="0"/>
    <n v="90"/>
    <n v="155000"/>
    <n v="13950000"/>
    <n v="225000"/>
    <n v="20250000"/>
    <n v="6300000"/>
  </r>
  <r>
    <x v="118"/>
    <x v="0"/>
    <x v="0"/>
    <x v="1"/>
    <n v="60"/>
    <n v="175000"/>
    <n v="10500000"/>
    <n v="210000"/>
    <n v="12600000"/>
    <n v="2100000"/>
  </r>
  <r>
    <x v="119"/>
    <x v="1"/>
    <x v="0"/>
    <x v="2"/>
    <n v="70"/>
    <n v="205000"/>
    <n v="14350000"/>
    <n v="210000"/>
    <n v="14700000"/>
    <n v="350000"/>
  </r>
  <r>
    <x v="120"/>
    <x v="2"/>
    <x v="0"/>
    <x v="0"/>
    <n v="60"/>
    <n v="165000"/>
    <n v="9900000"/>
    <n v="225000"/>
    <n v="13500000"/>
    <n v="3600000"/>
  </r>
  <r>
    <x v="121"/>
    <x v="2"/>
    <x v="0"/>
    <x v="1"/>
    <n v="70"/>
    <n v="145000"/>
    <n v="10150000"/>
    <n v="210000"/>
    <n v="14700000"/>
    <n v="4550000"/>
  </r>
  <r>
    <x v="122"/>
    <x v="0"/>
    <x v="0"/>
    <x v="2"/>
    <n v="40"/>
    <n v="175000"/>
    <n v="7000000"/>
    <n v="210000"/>
    <n v="8400000"/>
    <n v="1400000"/>
  </r>
  <r>
    <x v="123"/>
    <x v="0"/>
    <x v="0"/>
    <x v="0"/>
    <n v="90"/>
    <n v="145000"/>
    <n v="13050000"/>
    <n v="225000"/>
    <n v="20250000"/>
    <n v="7200000"/>
  </r>
  <r>
    <x v="124"/>
    <x v="0"/>
    <x v="1"/>
    <x v="1"/>
    <n v="40"/>
    <n v="165000"/>
    <n v="6600000"/>
    <n v="210000"/>
    <n v="8400000"/>
    <n v="1800000"/>
  </r>
  <r>
    <x v="125"/>
    <x v="0"/>
    <x v="1"/>
    <x v="2"/>
    <n v="70"/>
    <n v="155000"/>
    <n v="10850000"/>
    <n v="210000"/>
    <n v="14700000"/>
    <n v="3850000"/>
  </r>
  <r>
    <x v="126"/>
    <x v="0"/>
    <x v="1"/>
    <x v="0"/>
    <n v="80"/>
    <n v="185000"/>
    <n v="14800000"/>
    <n v="225000"/>
    <n v="18000000"/>
    <n v="3200000"/>
  </r>
  <r>
    <x v="127"/>
    <x v="0"/>
    <x v="1"/>
    <x v="1"/>
    <n v="70"/>
    <n v="145000"/>
    <n v="10150000"/>
    <n v="210000"/>
    <n v="14700000"/>
    <n v="4550000"/>
  </r>
  <r>
    <x v="128"/>
    <x v="0"/>
    <x v="2"/>
    <x v="2"/>
    <n v="80"/>
    <n v="115000"/>
    <n v="9200000"/>
    <n v="210000"/>
    <n v="16800000"/>
    <n v="7600000"/>
  </r>
  <r>
    <x v="129"/>
    <x v="1"/>
    <x v="2"/>
    <x v="0"/>
    <n v="70"/>
    <n v="195000"/>
    <n v="13650000"/>
    <n v="225000"/>
    <n v="15750000"/>
    <n v="2100000"/>
  </r>
  <r>
    <x v="130"/>
    <x v="2"/>
    <x v="2"/>
    <x v="1"/>
    <n v="50"/>
    <n v="175000"/>
    <n v="8750000"/>
    <n v="210000"/>
    <n v="10500000"/>
    <n v="1750000"/>
  </r>
  <r>
    <x v="131"/>
    <x v="2"/>
    <x v="2"/>
    <x v="2"/>
    <n v="50"/>
    <n v="195000"/>
    <n v="9750000"/>
    <n v="210000"/>
    <n v="10500000"/>
    <n v="750000"/>
  </r>
  <r>
    <x v="132"/>
    <x v="0"/>
    <x v="0"/>
    <x v="0"/>
    <n v="70"/>
    <n v="215000"/>
    <n v="15050000"/>
    <n v="225000"/>
    <n v="15750000"/>
    <n v="700000"/>
  </r>
  <r>
    <x v="133"/>
    <x v="0"/>
    <x v="0"/>
    <x v="1"/>
    <n v="80"/>
    <n v="215000"/>
    <n v="17200000"/>
    <n v="210000"/>
    <n v="16800000"/>
    <n v="-400000"/>
  </r>
  <r>
    <x v="134"/>
    <x v="0"/>
    <x v="0"/>
    <x v="2"/>
    <n v="90"/>
    <n v="145000"/>
    <n v="13050000"/>
    <n v="210000"/>
    <n v="18900000"/>
    <n v="5850000"/>
  </r>
  <r>
    <x v="135"/>
    <x v="0"/>
    <x v="0"/>
    <x v="0"/>
    <n v="50"/>
    <n v="175000"/>
    <n v="8750000"/>
    <n v="225000"/>
    <n v="11250000"/>
    <n v="2500000"/>
  </r>
  <r>
    <x v="136"/>
    <x v="0"/>
    <x v="0"/>
    <x v="1"/>
    <n v="80"/>
    <n v="95000"/>
    <n v="7600000"/>
    <n v="210000"/>
    <n v="16800000"/>
    <n v="9200000"/>
  </r>
  <r>
    <x v="137"/>
    <x v="0"/>
    <x v="0"/>
    <x v="2"/>
    <n v="70"/>
    <n v="115000"/>
    <n v="8050000"/>
    <n v="210000"/>
    <n v="14700000"/>
    <n v="6650000"/>
  </r>
  <r>
    <x v="138"/>
    <x v="0"/>
    <x v="0"/>
    <x v="0"/>
    <n v="50"/>
    <n v="95000"/>
    <n v="4750000"/>
    <n v="225000"/>
    <n v="11250000"/>
    <n v="6500000"/>
  </r>
  <r>
    <x v="139"/>
    <x v="1"/>
    <x v="0"/>
    <x v="1"/>
    <n v="50"/>
    <n v="115000"/>
    <n v="5750000"/>
    <n v="210000"/>
    <n v="10500000"/>
    <n v="4750000"/>
  </r>
  <r>
    <x v="140"/>
    <x v="2"/>
    <x v="0"/>
    <x v="2"/>
    <n v="60"/>
    <n v="195000"/>
    <n v="11700000"/>
    <n v="210000"/>
    <n v="12600000"/>
    <n v="900000"/>
  </r>
  <r>
    <x v="141"/>
    <x v="2"/>
    <x v="0"/>
    <x v="0"/>
    <n v="60"/>
    <n v="165000"/>
    <n v="9900000"/>
    <n v="225000"/>
    <n v="13500000"/>
    <n v="3600000"/>
  </r>
  <r>
    <x v="142"/>
    <x v="0"/>
    <x v="0"/>
    <x v="1"/>
    <n v="70"/>
    <n v="125000"/>
    <n v="8750000"/>
    <n v="210000"/>
    <n v="14700000"/>
    <n v="5950000"/>
  </r>
  <r>
    <x v="143"/>
    <x v="0"/>
    <x v="0"/>
    <x v="2"/>
    <n v="40"/>
    <n v="205000"/>
    <n v="8200000"/>
    <n v="210000"/>
    <n v="8400000"/>
    <n v="200000"/>
  </r>
  <r>
    <x v="144"/>
    <x v="0"/>
    <x v="1"/>
    <x v="0"/>
    <n v="80"/>
    <n v="205000"/>
    <n v="16400000"/>
    <n v="225000"/>
    <n v="18000000"/>
    <n v="1600000"/>
  </r>
  <r>
    <x v="145"/>
    <x v="0"/>
    <x v="1"/>
    <x v="1"/>
    <n v="80"/>
    <n v="135000"/>
    <n v="10800000"/>
    <n v="210000"/>
    <n v="16800000"/>
    <n v="6000000"/>
  </r>
  <r>
    <x v="146"/>
    <x v="0"/>
    <x v="1"/>
    <x v="2"/>
    <n v="70"/>
    <n v="205000"/>
    <n v="14350000"/>
    <n v="210000"/>
    <n v="14700000"/>
    <n v="350000"/>
  </r>
  <r>
    <x v="147"/>
    <x v="0"/>
    <x v="1"/>
    <x v="0"/>
    <n v="70"/>
    <n v="105000"/>
    <n v="7350000"/>
    <n v="225000"/>
    <n v="15750000"/>
    <n v="8400000"/>
  </r>
  <r>
    <x v="148"/>
    <x v="0"/>
    <x v="2"/>
    <x v="1"/>
    <n v="60"/>
    <n v="135000"/>
    <n v="8100000"/>
    <n v="210000"/>
    <n v="12600000"/>
    <n v="4500000"/>
  </r>
  <r>
    <x v="149"/>
    <x v="1"/>
    <x v="2"/>
    <x v="2"/>
    <n v="60"/>
    <n v="105000"/>
    <n v="6300000"/>
    <n v="210000"/>
    <n v="12600000"/>
    <n v="6300000"/>
  </r>
  <r>
    <x v="150"/>
    <x v="2"/>
    <x v="2"/>
    <x v="0"/>
    <n v="90"/>
    <n v="175000"/>
    <n v="15750000"/>
    <n v="225000"/>
    <n v="20250000"/>
    <n v="4500000"/>
  </r>
  <r>
    <x v="151"/>
    <x v="2"/>
    <x v="2"/>
    <x v="1"/>
    <n v="50"/>
    <n v="175000"/>
    <n v="8750000"/>
    <n v="210000"/>
    <n v="10500000"/>
    <n v="1750000"/>
  </r>
  <r>
    <x v="152"/>
    <x v="0"/>
    <x v="0"/>
    <x v="2"/>
    <n v="60"/>
    <n v="115000"/>
    <n v="6900000"/>
    <n v="210000"/>
    <n v="12600000"/>
    <n v="5700000"/>
  </r>
  <r>
    <x v="153"/>
    <x v="0"/>
    <x v="0"/>
    <x v="0"/>
    <n v="50"/>
    <n v="175000"/>
    <n v="8750000"/>
    <n v="225000"/>
    <n v="11250000"/>
    <n v="2500000"/>
  </r>
  <r>
    <x v="154"/>
    <x v="0"/>
    <x v="0"/>
    <x v="1"/>
    <n v="90"/>
    <n v="135000"/>
    <n v="12150000"/>
    <n v="210000"/>
    <n v="18900000"/>
    <n v="6750000"/>
  </r>
  <r>
    <x v="155"/>
    <x v="0"/>
    <x v="0"/>
    <x v="2"/>
    <n v="50"/>
    <n v="165000"/>
    <n v="8250000"/>
    <n v="210000"/>
    <n v="10500000"/>
    <n v="2250000"/>
  </r>
  <r>
    <x v="156"/>
    <x v="0"/>
    <x v="0"/>
    <x v="0"/>
    <n v="50"/>
    <n v="145000"/>
    <n v="7250000"/>
    <n v="225000"/>
    <n v="11250000"/>
    <n v="4000000"/>
  </r>
  <r>
    <x v="157"/>
    <x v="0"/>
    <x v="0"/>
    <x v="1"/>
    <n v="40"/>
    <n v="145000"/>
    <n v="5800000"/>
    <n v="210000"/>
    <n v="8400000"/>
    <n v="2600000"/>
  </r>
  <r>
    <x v="158"/>
    <x v="0"/>
    <x v="0"/>
    <x v="2"/>
    <n v="70"/>
    <n v="105000"/>
    <n v="7350000"/>
    <n v="210000"/>
    <n v="14700000"/>
    <n v="7350000"/>
  </r>
  <r>
    <x v="159"/>
    <x v="1"/>
    <x v="0"/>
    <x v="0"/>
    <n v="50"/>
    <n v="135000"/>
    <n v="6750000"/>
    <n v="225000"/>
    <n v="11250000"/>
    <n v="4500000"/>
  </r>
  <r>
    <x v="160"/>
    <x v="2"/>
    <x v="0"/>
    <x v="1"/>
    <n v="60"/>
    <n v="145000"/>
    <n v="8700000"/>
    <n v="210000"/>
    <n v="12600000"/>
    <n v="3900000"/>
  </r>
  <r>
    <x v="161"/>
    <x v="2"/>
    <x v="0"/>
    <x v="2"/>
    <n v="60"/>
    <n v="105000"/>
    <n v="6300000"/>
    <n v="210000"/>
    <n v="12600000"/>
    <n v="6300000"/>
  </r>
  <r>
    <x v="162"/>
    <x v="0"/>
    <x v="0"/>
    <x v="0"/>
    <n v="90"/>
    <n v="155000"/>
    <n v="13950000"/>
    <n v="225000"/>
    <n v="20250000"/>
    <n v="6300000"/>
  </r>
  <r>
    <x v="163"/>
    <x v="0"/>
    <x v="0"/>
    <x v="1"/>
    <n v="50"/>
    <n v="145000"/>
    <n v="7250000"/>
    <n v="210000"/>
    <n v="10500000"/>
    <n v="3250000"/>
  </r>
  <r>
    <x v="164"/>
    <x v="0"/>
    <x v="1"/>
    <x v="2"/>
    <n v="90"/>
    <n v="115000"/>
    <n v="10350000"/>
    <n v="210000"/>
    <n v="18900000"/>
    <n v="8550000"/>
  </r>
  <r>
    <x v="165"/>
    <x v="0"/>
    <x v="1"/>
    <x v="0"/>
    <n v="90"/>
    <n v="105000"/>
    <n v="9450000"/>
    <n v="225000"/>
    <n v="20250000"/>
    <n v="10800000"/>
  </r>
  <r>
    <x v="166"/>
    <x v="0"/>
    <x v="1"/>
    <x v="1"/>
    <n v="40"/>
    <n v="165000"/>
    <n v="6600000"/>
    <n v="210000"/>
    <n v="8400000"/>
    <n v="1800000"/>
  </r>
  <r>
    <x v="167"/>
    <x v="0"/>
    <x v="1"/>
    <x v="2"/>
    <n v="40"/>
    <n v="95000"/>
    <n v="3800000"/>
    <n v="210000"/>
    <n v="8400000"/>
    <n v="4600000"/>
  </r>
  <r>
    <x v="168"/>
    <x v="0"/>
    <x v="2"/>
    <x v="0"/>
    <n v="70"/>
    <n v="215000"/>
    <n v="15050000"/>
    <n v="225000"/>
    <n v="15750000"/>
    <n v="700000"/>
  </r>
  <r>
    <x v="169"/>
    <x v="1"/>
    <x v="2"/>
    <x v="1"/>
    <n v="90"/>
    <n v="175000"/>
    <n v="15750000"/>
    <n v="210000"/>
    <n v="18900000"/>
    <n v="3150000"/>
  </r>
  <r>
    <x v="170"/>
    <x v="2"/>
    <x v="2"/>
    <x v="2"/>
    <n v="60"/>
    <n v="135000"/>
    <n v="8100000"/>
    <n v="210000"/>
    <n v="12600000"/>
    <n v="4500000"/>
  </r>
  <r>
    <x v="171"/>
    <x v="2"/>
    <x v="2"/>
    <x v="0"/>
    <n v="50"/>
    <n v="165000"/>
    <n v="8250000"/>
    <n v="225000"/>
    <n v="11250000"/>
    <n v="3000000"/>
  </r>
  <r>
    <x v="172"/>
    <x v="0"/>
    <x v="0"/>
    <x v="1"/>
    <n v="50"/>
    <n v="95000"/>
    <n v="4750000"/>
    <n v="210000"/>
    <n v="10500000"/>
    <n v="5750000"/>
  </r>
  <r>
    <x v="173"/>
    <x v="0"/>
    <x v="0"/>
    <x v="2"/>
    <n v="80"/>
    <n v="85000"/>
    <n v="6800000"/>
    <n v="210000"/>
    <n v="16800000"/>
    <n v="10000000"/>
  </r>
  <r>
    <x v="174"/>
    <x v="0"/>
    <x v="0"/>
    <x v="0"/>
    <n v="80"/>
    <n v="115000"/>
    <n v="9200000"/>
    <n v="225000"/>
    <n v="18000000"/>
    <n v="8800000"/>
  </r>
  <r>
    <x v="175"/>
    <x v="0"/>
    <x v="0"/>
    <x v="1"/>
    <n v="70"/>
    <n v="135000"/>
    <n v="9450000"/>
    <n v="210000"/>
    <n v="14700000"/>
    <n v="5250000"/>
  </r>
  <r>
    <x v="176"/>
    <x v="0"/>
    <x v="0"/>
    <x v="2"/>
    <n v="60"/>
    <n v="205000"/>
    <n v="12300000"/>
    <n v="210000"/>
    <n v="12600000"/>
    <n v="300000"/>
  </r>
  <r>
    <x v="177"/>
    <x v="0"/>
    <x v="0"/>
    <x v="0"/>
    <n v="80"/>
    <n v="165000"/>
    <n v="13200000"/>
    <n v="225000"/>
    <n v="18000000"/>
    <n v="4800000"/>
  </r>
  <r>
    <x v="178"/>
    <x v="0"/>
    <x v="0"/>
    <x v="1"/>
    <n v="90"/>
    <n v="95000"/>
    <n v="8550000"/>
    <n v="210000"/>
    <n v="18900000"/>
    <n v="10350000"/>
  </r>
  <r>
    <x v="179"/>
    <x v="1"/>
    <x v="0"/>
    <x v="2"/>
    <n v="70"/>
    <n v="155000"/>
    <n v="10850000"/>
    <n v="210000"/>
    <n v="14700000"/>
    <n v="3850000"/>
  </r>
  <r>
    <x v="180"/>
    <x v="2"/>
    <x v="0"/>
    <x v="0"/>
    <n v="60"/>
    <n v="135000"/>
    <n v="8100000"/>
    <n v="225000"/>
    <n v="13500000"/>
    <n v="5400000"/>
  </r>
  <r>
    <x v="181"/>
    <x v="2"/>
    <x v="0"/>
    <x v="1"/>
    <n v="70"/>
    <n v="115000"/>
    <n v="8050000"/>
    <n v="210000"/>
    <n v="14700000"/>
    <n v="6650000"/>
  </r>
  <r>
    <x v="182"/>
    <x v="0"/>
    <x v="0"/>
    <x v="2"/>
    <n v="90"/>
    <n v="165000"/>
    <n v="14850000"/>
    <n v="210000"/>
    <n v="18900000"/>
    <n v="4050000"/>
  </r>
  <r>
    <x v="183"/>
    <x v="0"/>
    <x v="0"/>
    <x v="0"/>
    <n v="60"/>
    <n v="105000"/>
    <n v="6300000"/>
    <n v="225000"/>
    <n v="13500000"/>
    <n v="7200000"/>
  </r>
  <r>
    <x v="184"/>
    <x v="0"/>
    <x v="1"/>
    <x v="1"/>
    <n v="80"/>
    <n v="165000"/>
    <n v="13200000"/>
    <n v="210000"/>
    <n v="16800000"/>
    <n v="3600000"/>
  </r>
  <r>
    <x v="185"/>
    <x v="0"/>
    <x v="1"/>
    <x v="2"/>
    <n v="80"/>
    <n v="195000"/>
    <n v="15600000"/>
    <n v="210000"/>
    <n v="16800000"/>
    <n v="1200000"/>
  </r>
  <r>
    <x v="186"/>
    <x v="0"/>
    <x v="1"/>
    <x v="0"/>
    <n v="70"/>
    <n v="105000"/>
    <n v="7350000"/>
    <n v="225000"/>
    <n v="15750000"/>
    <n v="8400000"/>
  </r>
  <r>
    <x v="187"/>
    <x v="0"/>
    <x v="1"/>
    <x v="1"/>
    <n v="60"/>
    <n v="165000"/>
    <n v="9900000"/>
    <n v="210000"/>
    <n v="12600000"/>
    <n v="2700000"/>
  </r>
  <r>
    <x v="188"/>
    <x v="0"/>
    <x v="2"/>
    <x v="2"/>
    <n v="90"/>
    <n v="195000"/>
    <n v="17550000"/>
    <n v="210000"/>
    <n v="18900000"/>
    <n v="1350000"/>
  </r>
  <r>
    <x v="189"/>
    <x v="1"/>
    <x v="2"/>
    <x v="0"/>
    <n v="60"/>
    <n v="165000"/>
    <n v="9900000"/>
    <n v="225000"/>
    <n v="13500000"/>
    <n v="3600000"/>
  </r>
  <r>
    <x v="190"/>
    <x v="2"/>
    <x v="2"/>
    <x v="1"/>
    <n v="40"/>
    <n v="185000"/>
    <n v="7400000"/>
    <n v="210000"/>
    <n v="8400000"/>
    <n v="1000000"/>
  </r>
  <r>
    <x v="191"/>
    <x v="2"/>
    <x v="2"/>
    <x v="2"/>
    <n v="80"/>
    <n v="165000"/>
    <n v="13200000"/>
    <n v="210000"/>
    <n v="16800000"/>
    <n v="3600000"/>
  </r>
  <r>
    <x v="192"/>
    <x v="0"/>
    <x v="0"/>
    <x v="0"/>
    <n v="50"/>
    <n v="185000"/>
    <n v="9250000"/>
    <n v="225000"/>
    <n v="11250000"/>
    <n v="2000000"/>
  </r>
  <r>
    <x v="193"/>
    <x v="0"/>
    <x v="0"/>
    <x v="1"/>
    <n v="80"/>
    <n v="205000"/>
    <n v="16400000"/>
    <n v="210000"/>
    <n v="16800000"/>
    <n v="400000"/>
  </r>
  <r>
    <x v="194"/>
    <x v="0"/>
    <x v="0"/>
    <x v="2"/>
    <n v="80"/>
    <n v="185000"/>
    <n v="14800000"/>
    <n v="210000"/>
    <n v="16800000"/>
    <n v="2000000"/>
  </r>
  <r>
    <x v="195"/>
    <x v="0"/>
    <x v="0"/>
    <x v="0"/>
    <n v="60"/>
    <n v="105000"/>
    <n v="6300000"/>
    <n v="225000"/>
    <n v="13500000"/>
    <n v="7200000"/>
  </r>
  <r>
    <x v="196"/>
    <x v="0"/>
    <x v="0"/>
    <x v="1"/>
    <n v="40"/>
    <n v="165000"/>
    <n v="6600000"/>
    <n v="210000"/>
    <n v="8400000"/>
    <n v="1800000"/>
  </r>
  <r>
    <x v="197"/>
    <x v="0"/>
    <x v="0"/>
    <x v="2"/>
    <n v="50"/>
    <n v="115000"/>
    <n v="5750000"/>
    <n v="210000"/>
    <n v="10500000"/>
    <n v="4750000"/>
  </r>
  <r>
    <x v="198"/>
    <x v="0"/>
    <x v="0"/>
    <x v="0"/>
    <n v="60"/>
    <n v="165000"/>
    <n v="9900000"/>
    <n v="225000"/>
    <n v="13500000"/>
    <n v="3600000"/>
  </r>
  <r>
    <x v="199"/>
    <x v="1"/>
    <x v="0"/>
    <x v="1"/>
    <n v="80"/>
    <n v="195000"/>
    <n v="15600000"/>
    <n v="210000"/>
    <n v="16800000"/>
    <n v="1200000"/>
  </r>
  <r>
    <x v="200"/>
    <x v="2"/>
    <x v="0"/>
    <x v="2"/>
    <n v="90"/>
    <n v="125000"/>
    <n v="11250000"/>
    <n v="210000"/>
    <n v="18900000"/>
    <n v="7650000"/>
  </r>
  <r>
    <x v="201"/>
    <x v="2"/>
    <x v="0"/>
    <x v="0"/>
    <n v="80"/>
    <n v="115000"/>
    <n v="9200000"/>
    <n v="225000"/>
    <n v="18000000"/>
    <n v="8800000"/>
  </r>
  <r>
    <x v="202"/>
    <x v="0"/>
    <x v="0"/>
    <x v="1"/>
    <n v="60"/>
    <n v="155000"/>
    <n v="9300000"/>
    <n v="210000"/>
    <n v="12600000"/>
    <n v="3300000"/>
  </r>
  <r>
    <x v="203"/>
    <x v="0"/>
    <x v="0"/>
    <x v="2"/>
    <n v="60"/>
    <n v="145000"/>
    <n v="8700000"/>
    <n v="210000"/>
    <n v="12600000"/>
    <n v="3900000"/>
  </r>
  <r>
    <x v="204"/>
    <x v="0"/>
    <x v="1"/>
    <x v="0"/>
    <n v="60"/>
    <n v="115000"/>
    <n v="6900000"/>
    <n v="225000"/>
    <n v="13500000"/>
    <n v="6600000"/>
  </r>
  <r>
    <x v="205"/>
    <x v="0"/>
    <x v="1"/>
    <x v="1"/>
    <n v="70"/>
    <n v="155000"/>
    <n v="10850000"/>
    <n v="210000"/>
    <n v="14700000"/>
    <n v="3850000"/>
  </r>
  <r>
    <x v="206"/>
    <x v="0"/>
    <x v="1"/>
    <x v="2"/>
    <n v="50"/>
    <n v="155000"/>
    <n v="7750000"/>
    <n v="210000"/>
    <n v="10500000"/>
    <n v="2750000"/>
  </r>
  <r>
    <x v="207"/>
    <x v="0"/>
    <x v="1"/>
    <x v="0"/>
    <n v="50"/>
    <n v="105000"/>
    <n v="5250000"/>
    <n v="225000"/>
    <n v="11250000"/>
    <n v="6000000"/>
  </r>
  <r>
    <x v="208"/>
    <x v="0"/>
    <x v="2"/>
    <x v="1"/>
    <n v="80"/>
    <n v="155000"/>
    <n v="12400000"/>
    <n v="210000"/>
    <n v="16800000"/>
    <n v="4400000"/>
  </r>
  <r>
    <x v="209"/>
    <x v="1"/>
    <x v="2"/>
    <x v="2"/>
    <n v="70"/>
    <n v="205000"/>
    <n v="14350000"/>
    <n v="210000"/>
    <n v="14700000"/>
    <n v="350000"/>
  </r>
  <r>
    <x v="210"/>
    <x v="2"/>
    <x v="2"/>
    <x v="0"/>
    <n v="60"/>
    <n v="195000"/>
    <n v="11700000"/>
    <n v="225000"/>
    <n v="13500000"/>
    <n v="1800000"/>
  </r>
  <r>
    <x v="211"/>
    <x v="2"/>
    <x v="2"/>
    <x v="1"/>
    <n v="40"/>
    <n v="125000"/>
    <n v="5000000"/>
    <n v="210000"/>
    <n v="8400000"/>
    <n v="3400000"/>
  </r>
  <r>
    <x v="211"/>
    <x v="2"/>
    <x v="2"/>
    <x v="1"/>
    <n v="5000"/>
    <n v="125000"/>
    <n v="625000000"/>
    <n v="210000"/>
    <n v="1050000000"/>
    <n v="425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71:B75" firstHeaderRow="1" firstDataRow="1" firstDataCol="1"/>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axis="axisRow" showAll="0">
      <items count="4">
        <item x="0"/>
        <item x="2"/>
        <item x="1"/>
        <item t="default"/>
      </items>
    </pivotField>
    <pivotField showAll="0">
      <items count="4">
        <item x="0"/>
        <item x="1"/>
        <item x="2"/>
        <item t="default"/>
      </items>
    </pivotField>
    <pivotField showAll="0">
      <items count="4">
        <item x="1"/>
        <item x="2"/>
        <item x="0"/>
        <item t="default"/>
      </items>
    </pivotField>
    <pivotField numFmtId="41" showAll="0"/>
    <pivotField numFmtId="41" showAll="0"/>
    <pivotField numFmtId="41" showAll="0"/>
    <pivotField numFmtId="41" showAll="0"/>
    <pivotField numFmtId="41" showAll="0"/>
    <pivotField dataField="1" numFmtId="4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Items count="1">
    <i/>
  </colItems>
  <dataFields count="1">
    <dataField name="Total Laba" fld="9" baseField="1" baseItem="0" numFmtId="41"/>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filters count="1">
    <filter fld="0" type="dateBetween" evalOrder="-1" id="70" name="Tanggal">
      <autoFilter ref="A1">
        <filterColumn colId="0">
          <customFilters and="1">
            <customFilter operator="greaterThanOrEqual" val="45717"/>
            <customFilter operator="lessThanOrEqual" val="46022"/>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49:B55" firstHeaderRow="1" firstDataRow="1" firstDataCol="1"/>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4">
        <item x="0"/>
        <item x="2"/>
        <item x="1"/>
        <item t="default"/>
      </items>
    </pivotField>
    <pivotField showAll="0">
      <items count="4">
        <item x="0"/>
        <item x="1"/>
        <item x="2"/>
        <item t="default"/>
      </items>
    </pivotField>
    <pivotField showAll="0">
      <items count="4">
        <item x="1"/>
        <item x="2"/>
        <item x="0"/>
        <item t="default"/>
      </items>
    </pivotField>
    <pivotField numFmtId="41" showAll="0"/>
    <pivotField numFmtId="41" showAll="0"/>
    <pivotField numFmtId="41" showAll="0"/>
    <pivotField numFmtId="41" showAll="0"/>
    <pivotField numFmtId="41" showAll="0"/>
    <pivotField dataField="1"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6">
    <i>
      <x v="3"/>
    </i>
    <i>
      <x v="4"/>
    </i>
    <i>
      <x v="5"/>
    </i>
    <i>
      <x v="6"/>
    </i>
    <i>
      <x v="7"/>
    </i>
    <i t="grand">
      <x/>
    </i>
  </rowItems>
  <colItems count="1">
    <i/>
  </colItems>
  <dataFields count="1">
    <dataField name="Total Laba" fld="9" baseField="0" baseItem="0" numFmtId="41"/>
  </dataFields>
  <chartFormats count="8">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20" format="1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filters count="1">
    <filter fld="0" type="dateBetween" evalOrder="-1" id="70" name="Tanggal">
      <autoFilter ref="A1">
        <filterColumn colId="0">
          <customFilters and="1">
            <customFilter operator="greaterThanOrEqual" val="45717"/>
            <customFilter operator="lessThanOrEqual" val="46022"/>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41:D46" firstHeaderRow="1" firstDataRow="2" firstDataCol="1"/>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4">
        <item x="0"/>
        <item x="2"/>
        <item x="1"/>
        <item t="default"/>
      </items>
    </pivotField>
    <pivotField showAll="0">
      <items count="4">
        <item x="0"/>
        <item x="1"/>
        <item x="2"/>
        <item t="default"/>
      </items>
    </pivotField>
    <pivotField axis="axisRow" showAll="0">
      <items count="4">
        <item x="1"/>
        <item x="2"/>
        <item x="0"/>
        <item t="default"/>
      </items>
    </pivotField>
    <pivotField numFmtId="41" showAll="0"/>
    <pivotField numFmtId="41" showAll="0"/>
    <pivotField dataField="1" numFmtId="41" showAll="0"/>
    <pivotField numFmtId="41" showAll="0"/>
    <pivotField dataField="1" numFmtId="41" showAll="0"/>
    <pivotField dataField="1" numFmtId="4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Fields count="1">
    <field x="-2"/>
  </colFields>
  <colItems count="3">
    <i>
      <x/>
    </i>
    <i i="1">
      <x v="1"/>
    </i>
    <i i="2">
      <x v="2"/>
    </i>
  </colItems>
  <dataFields count="3">
    <dataField name="Pembelian" fld="6" baseField="0" baseItem="0" numFmtId="41"/>
    <dataField name="Penjualan" fld="8" baseField="0" baseItem="0" numFmtId="41"/>
    <dataField name="Total Laba" fld="9" baseField="0" baseItem="0" numFmtId="41"/>
  </dataFields>
  <chartFormats count="12">
    <chartFormat chart="6" format="0" series="1">
      <pivotArea type="data" outline="0" fieldPosition="0">
        <references count="1">
          <reference field="4294967294" count="1" selected="0">
            <x v="2"/>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20" format="12"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1"/>
          </reference>
        </references>
      </pivotArea>
    </chartFormat>
    <chartFormat chart="20"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dateBetween" evalOrder="-1" id="70" name="Tanggal">
      <autoFilter ref="A1">
        <filterColumn colId="0">
          <customFilters and="1">
            <customFilter operator="greaterThanOrEqual" val="45717"/>
            <customFilter operator="lessThanOrEqual" val="46022"/>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64:D69" firstHeaderRow="1" firstDataRow="2" firstDataCol="1"/>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4">
        <item x="0"/>
        <item x="2"/>
        <item x="1"/>
        <item t="default"/>
      </items>
    </pivotField>
    <pivotField showAll="0">
      <items count="4">
        <item x="0"/>
        <item x="1"/>
        <item x="2"/>
        <item t="default"/>
      </items>
    </pivotField>
    <pivotField axis="axisRow" showAll="0">
      <items count="4">
        <item x="1"/>
        <item x="2"/>
        <item x="0"/>
        <item t="default"/>
      </items>
    </pivotField>
    <pivotField numFmtId="41" showAll="0"/>
    <pivotField numFmtId="41" showAll="0"/>
    <pivotField dataField="1" numFmtId="41" showAll="0"/>
    <pivotField numFmtId="41" showAll="0"/>
    <pivotField dataField="1" numFmtId="41" showAll="0"/>
    <pivotField dataField="1" numFmtId="4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Fields count="1">
    <field x="-2"/>
  </colFields>
  <colItems count="3">
    <i>
      <x/>
    </i>
    <i i="1">
      <x v="1"/>
    </i>
    <i i="2">
      <x v="2"/>
    </i>
  </colItems>
  <dataFields count="3">
    <dataField name="Pembelian" fld="6" baseField="0" baseItem="0" numFmtId="41"/>
    <dataField name="Penjualan" fld="8" baseField="0" baseItem="0" numFmtId="41"/>
    <dataField name="Total Laba" fld="9" baseField="0" baseItem="0" numFmtId="41"/>
  </dataFields>
  <chartFormats count="12">
    <chartFormat chart="6" format="0" series="1">
      <pivotArea type="data" outline="0" fieldPosition="0">
        <references count="1">
          <reference field="4294967294" count="1" selected="0">
            <x v="2"/>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20" format="12"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1"/>
          </reference>
        </references>
      </pivotArea>
    </chartFormat>
    <chartFormat chart="20"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dateBetween" evalOrder="-1" id="70" name="Tanggal">
      <autoFilter ref="A1">
        <filterColumn colId="0">
          <customFilters and="1">
            <customFilter operator="greaterThanOrEqual" val="45717"/>
            <customFilter operator="lessThanOrEqual" val="46022"/>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2:B16" firstHeaderRow="1" firstDataRow="1" firstDataCol="1"/>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4">
        <item x="0"/>
        <item x="2"/>
        <item x="1"/>
        <item t="default"/>
      </items>
    </pivotField>
    <pivotField showAll="0">
      <items count="4">
        <item x="0"/>
        <item x="1"/>
        <item x="2"/>
        <item t="default"/>
      </items>
    </pivotField>
    <pivotField axis="axisRow" showAll="0">
      <items count="4">
        <item x="1"/>
        <item x="2"/>
        <item x="0"/>
        <item t="default"/>
      </items>
    </pivotField>
    <pivotField dataField="1" numFmtId="41" showAll="0"/>
    <pivotField numFmtId="41" showAll="0"/>
    <pivotField numFmtId="41" showAll="0"/>
    <pivotField numFmtId="41" showAll="0"/>
    <pivotField numFmtId="41" showAll="0"/>
    <pivotField numFmtId="4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Volume" fld="4" baseField="0" baseItem="0" numFmtId="4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18" name="Tanggal">
      <autoFilter ref="A1">
        <filterColumn colId="0">
          <customFilters and="1">
            <customFilter operator="greaterThanOrEqual" val="45717"/>
            <customFilter operator="lessThanOrEqual" val="46022"/>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4">
        <item x="0"/>
        <item x="2"/>
        <item x="1"/>
        <item t="default"/>
      </items>
    </pivotField>
    <pivotField showAll="0">
      <items count="4">
        <item x="0"/>
        <item x="1"/>
        <item x="2"/>
        <item t="default"/>
      </items>
    </pivotField>
    <pivotField showAll="0">
      <items count="4">
        <item x="1"/>
        <item x="2"/>
        <item x="0"/>
        <item t="default"/>
      </items>
    </pivotField>
    <pivotField numFmtId="41" showAll="0"/>
    <pivotField numFmtId="41" showAll="0"/>
    <pivotField dataField="1" numFmtId="41" showAll="0"/>
    <pivotField numFmtId="41" showAll="0"/>
    <pivotField numFmtId="41" showAll="0"/>
    <pivotField numFmtId="4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pembelian" fld="6" baseField="0" baseItem="0" numFmtId="41"/>
  </dataFields>
  <pivotTableStyleInfo name="PivotStyleLight16" showRowHeaders="1" showColHeaders="1" showRowStripes="0" showColStripes="0" showLastColumn="1"/>
  <filters count="1">
    <filter fld="0" type="dateBetween" evalOrder="-1" id="70" name="Tanggal">
      <autoFilter ref="A1">
        <filterColumn colId="0">
          <customFilters and="1">
            <customFilter operator="greaterThanOrEqual" val="45717"/>
            <customFilter operator="lessThanOrEqual" val="46022"/>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A10" firstHeaderRow="1" firstDataRow="1" firstDataCol="0"/>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4">
        <item x="0"/>
        <item x="2"/>
        <item x="1"/>
        <item t="default"/>
      </items>
    </pivotField>
    <pivotField showAll="0">
      <items count="4">
        <item x="0"/>
        <item x="1"/>
        <item x="2"/>
        <item t="default"/>
      </items>
    </pivotField>
    <pivotField showAll="0">
      <items count="4">
        <item x="1"/>
        <item x="2"/>
        <item x="0"/>
        <item t="default"/>
      </items>
    </pivotField>
    <pivotField numFmtId="41" showAll="0"/>
    <pivotField numFmtId="41" showAll="0"/>
    <pivotField numFmtId="41" showAll="0"/>
    <pivotField numFmtId="41" showAll="0"/>
    <pivotField numFmtId="41" showAll="0"/>
    <pivotField dataField="1" numFmtId="4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Laba" fld="9" baseField="0" baseItem="0" numFmtId="41"/>
  </dataFields>
  <pivotTableStyleInfo name="PivotStyleLight16" showRowHeaders="1" showColHeaders="1" showRowStripes="0" showColStripes="0" showLastColumn="1"/>
  <filters count="1">
    <filter fld="0" type="dateBetween" evalOrder="-1" id="70" name="Tanggal">
      <autoFilter ref="A1">
        <filterColumn colId="0">
          <customFilters and="1">
            <customFilter operator="greaterThanOrEqual" val="45717"/>
            <customFilter operator="lessThanOrEqual" val="46022"/>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4">
        <item x="0"/>
        <item x="2"/>
        <item x="1"/>
        <item t="default"/>
      </items>
    </pivotField>
    <pivotField showAll="0">
      <items count="4">
        <item x="0"/>
        <item x="1"/>
        <item x="2"/>
        <item t="default"/>
      </items>
    </pivotField>
    <pivotField showAll="0">
      <items count="4">
        <item x="1"/>
        <item x="2"/>
        <item x="0"/>
        <item t="default"/>
      </items>
    </pivotField>
    <pivotField numFmtId="41" showAll="0"/>
    <pivotField numFmtId="41" showAll="0"/>
    <pivotField numFmtId="41" showAll="0"/>
    <pivotField numFmtId="41" showAll="0"/>
    <pivotField dataField="1" numFmtId="41" showAll="0"/>
    <pivotField numFmtId="4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Penjualan" fld="8" baseField="0" baseItem="0" numFmtId="41"/>
  </dataFields>
  <pivotTableStyleInfo name="PivotStyleLight16" showRowHeaders="1" showColHeaders="1" showRowStripes="0" showColStripes="0" showLastColumn="1"/>
  <filters count="1">
    <filter fld="0" type="dateBetween" evalOrder="-1" id="70" name="Tanggal">
      <autoFilter ref="A1">
        <filterColumn colId="0">
          <customFilters and="1">
            <customFilter operator="greaterThanOrEqual" val="45717"/>
            <customFilter operator="lessThanOrEqual" val="46022"/>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25:D30" firstHeaderRow="1" firstDataRow="2" firstDataCol="1"/>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axis="axisRow" showAll="0">
      <items count="4">
        <item x="0"/>
        <item x="2"/>
        <item x="1"/>
        <item t="default"/>
      </items>
    </pivotField>
    <pivotField showAll="0">
      <items count="4">
        <item x="0"/>
        <item x="1"/>
        <item x="2"/>
        <item t="default"/>
      </items>
    </pivotField>
    <pivotField showAll="0">
      <items count="4">
        <item x="1"/>
        <item x="2"/>
        <item x="0"/>
        <item t="default"/>
      </items>
    </pivotField>
    <pivotField numFmtId="41" showAll="0"/>
    <pivotField numFmtId="41" showAll="0"/>
    <pivotField dataField="1" numFmtId="41" showAll="0"/>
    <pivotField numFmtId="41" showAll="0"/>
    <pivotField dataField="1" numFmtId="41" showAll="0"/>
    <pivotField dataField="1" numFmtId="4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Fields count="1">
    <field x="-2"/>
  </colFields>
  <colItems count="3">
    <i>
      <x/>
    </i>
    <i i="1">
      <x v="1"/>
    </i>
    <i i="2">
      <x v="2"/>
    </i>
  </colItems>
  <dataFields count="3">
    <dataField name="Pembelian" fld="6" baseField="0" baseItem="0" numFmtId="41"/>
    <dataField name="Penjualan" fld="8" baseField="0" baseItem="0" numFmtId="41"/>
    <dataField name="Total Laba" fld="9" baseField="0" baseItem="0" numFmtId="41"/>
  </dataFields>
  <chartFormats count="6">
    <chartFormat chart="6" format="0" series="1">
      <pivotArea type="data" outline="0" fieldPosition="0">
        <references count="1">
          <reference field="4294967294" count="1" selected="0">
            <x v="2"/>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70" name="Tanggal">
      <autoFilter ref="A1">
        <filterColumn colId="0">
          <customFilters and="1">
            <customFilter operator="greaterThanOrEqual" val="45717"/>
            <customFilter operator="lessThanOrEqual" val="46022"/>
          </customFilters>
        </filterColumn>
      </autoFilter>
      <extLst>
        <ext xmlns:x15="http://schemas.microsoft.com/office/spreadsheetml/2010/11/main" uri="{0605FD5F-26C8-4aeb-8148-2DB25E43C511}">
          <x15:pivotFilter useWholeDay="1"/>
        </ext>
      </extLst>
    </filter>
  </filters>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DF38AE76-22A3-4A79-AB99-46E2B6BAC831}" sourceName="Sales">
  <pivotTables>
    <pivotTable tabId="2" name="PivotTable4"/>
    <pivotTable tabId="2" name="PivotTable1"/>
    <pivotTable tabId="2" name="PivotTable11"/>
    <pivotTable tabId="2" name="PivotTable12"/>
    <pivotTable tabId="2" name="PivotTable2"/>
    <pivotTable tabId="2" name="PivotTable3"/>
    <pivotTable tabId="2" name="PivotTable5"/>
    <pivotTable tabId="2" name="PivotTable6"/>
    <pivotTable tabId="2" name="PivotTable7"/>
  </pivotTables>
  <data>
    <tabular pivotCacheId="176785424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mber_Material1" xr10:uid="{0E9D156D-43E8-499E-B4B3-3D810DDE9052}" sourceName="Sumber Material">
  <pivotTables>
    <pivotTable tabId="2" name="PivotTable4"/>
    <pivotTable tabId="2" name="PivotTable1"/>
    <pivotTable tabId="2" name="PivotTable11"/>
    <pivotTable tabId="2" name="PivotTable12"/>
    <pivotTable tabId="2" name="PivotTable2"/>
    <pivotTable tabId="2" name="PivotTable3"/>
    <pivotTable tabId="2" name="PivotTable5"/>
    <pivotTable tabId="2" name="PivotTable6"/>
    <pivotTable tabId="2" name="PivotTable7"/>
  </pivotTables>
  <data>
    <tabular pivotCacheId="176785424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1" xr10:uid="{7384466C-C3A1-400A-9E8D-4EC12DB73CFD}" sourceName="Material">
  <pivotTables>
    <pivotTable tabId="2" name="PivotTable4"/>
    <pivotTable tabId="2" name="PivotTable1"/>
    <pivotTable tabId="2" name="PivotTable11"/>
    <pivotTable tabId="2" name="PivotTable12"/>
    <pivotTable tabId="2" name="PivotTable2"/>
    <pivotTable tabId="2" name="PivotTable3"/>
    <pivotTable tabId="2" name="PivotTable5"/>
    <pivotTable tabId="2" name="PivotTable6"/>
    <pivotTable tabId="2" name="PivotTable7"/>
  </pivotTables>
  <data>
    <tabular pivotCacheId="176785424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760059E7-3F6B-46C3-AE8E-A3564C903C6E}" cache="Slicer_Sales1" caption="Sales" style="SlicerStyleLight6" rowHeight="234950"/>
  <slicer name="Sumber Material" xr10:uid="{6B269DCB-D330-420D-B6EC-071F7F52D001}" cache="Slicer_Sumber_Material1" caption="Sumber Material" style="SlicerStyleLight6" rowHeight="234950"/>
  <slicer name="Material" xr10:uid="{ACC0C621-3984-4610-8688-D739D7354D63}" cache="Slicer_Material1" caption="Material"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3:J216" totalsRowShown="0">
  <autoFilter ref="A3:J216" xr:uid="{00000000-0009-0000-0100-000001000000}"/>
  <tableColumns count="10">
    <tableColumn id="1" xr3:uid="{00000000-0010-0000-0000-000001000000}" name="Tanggal" dataDxfId="8"/>
    <tableColumn id="2" xr3:uid="{00000000-0010-0000-0000-000002000000}" name="Sales"/>
    <tableColumn id="3" xr3:uid="{00000000-0010-0000-0000-000003000000}" name="Sumber Material"/>
    <tableColumn id="4" xr3:uid="{00000000-0010-0000-0000-000004000000}" name="Material"/>
    <tableColumn id="5" xr3:uid="{00000000-0010-0000-0000-000005000000}" name="Volume"/>
    <tableColumn id="6" xr3:uid="{00000000-0010-0000-0000-000006000000}" name="Harga satuan pembelian"/>
    <tableColumn id="7" xr3:uid="{00000000-0010-0000-0000-000007000000}" name="Total pembelian"/>
    <tableColumn id="8" xr3:uid="{00000000-0010-0000-0000-000008000000}" name="Harga satuan penjualan"/>
    <tableColumn id="9" xr3:uid="{00000000-0010-0000-0000-000009000000}" name="Total Penjualan"/>
    <tableColumn id="10" xr3:uid="{00000000-0010-0000-0000-00000A000000}" name="Lab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J213" totalsRowShown="0" dataDxfId="7" dataCellStyle="Comma [0]">
  <autoFilter ref="A1:J213" xr:uid="{00000000-0009-0000-0100-000002000000}"/>
  <tableColumns count="10">
    <tableColumn id="1" xr3:uid="{00000000-0010-0000-0100-000001000000}" name="Tanggal" dataDxfId="6"/>
    <tableColumn id="2" xr3:uid="{00000000-0010-0000-0100-000002000000}" name="Sales"/>
    <tableColumn id="3" xr3:uid="{00000000-0010-0000-0100-000003000000}" name="Sumber Material"/>
    <tableColumn id="4" xr3:uid="{00000000-0010-0000-0100-000004000000}" name="Material"/>
    <tableColumn id="5" xr3:uid="{00000000-0010-0000-0100-000005000000}" name="Volume" dataDxfId="5" dataCellStyle="Comma [0]"/>
    <tableColumn id="6" xr3:uid="{00000000-0010-0000-0100-000006000000}" name="Harga satuan pembelian" dataDxfId="4" dataCellStyle="Comma [0]"/>
    <tableColumn id="7" xr3:uid="{00000000-0010-0000-0100-000007000000}" name="Total pembelian" dataDxfId="3" dataCellStyle="Comma [0]"/>
    <tableColumn id="8" xr3:uid="{00000000-0010-0000-0100-000008000000}" name="Harga satuan penjualan" dataDxfId="2" dataCellStyle="Comma [0]"/>
    <tableColumn id="9" xr3:uid="{00000000-0010-0000-0100-000009000000}" name="Total Penjualan" dataDxfId="1" dataCellStyle="Comma [0]"/>
    <tableColumn id="10" xr3:uid="{00000000-0010-0000-0100-00000A000000}" name="Laba" dataDxfId="0" dataCellStyle="Comma [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1" xr10:uid="{D5F88ECE-0E2E-4A23-A184-F1ACCFAC510E}" sourceName="Tanggal">
  <pivotTables>
    <pivotTable tabId="2" name="PivotTable4"/>
    <pivotTable tabId="2" name="PivotTable1"/>
    <pivotTable tabId="2" name="PivotTable11"/>
    <pivotTable tabId="2" name="PivotTable12"/>
    <pivotTable tabId="2" name="PivotTable2"/>
    <pivotTable tabId="2" name="PivotTable3"/>
    <pivotTable tabId="2" name="PivotTable5"/>
    <pivotTable tabId="2" name="PivotTable6"/>
    <pivotTable tabId="2" name="PivotTable7"/>
  </pivotTables>
  <state minimalRefreshVersion="6" lastRefreshVersion="6" pivotCacheId="1767854247" filterType="dateBetween">
    <selection startDate="2025-03-01T00:00:00" endDate="2025-12-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xr10:uid="{324D7DD2-C0BA-4D94-AB88-AEBDFA88939E}" cache="NativeTimeline_Tanggal1" caption="Tanggal" level="2" selectionLevel="2" scrollPosition="2025-03-08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6"/>
  <sheetViews>
    <sheetView workbookViewId="0">
      <selection activeCell="J2" sqref="J2"/>
    </sheetView>
  </sheetViews>
  <sheetFormatPr defaultRowHeight="14.4" x14ac:dyDescent="0.3"/>
  <cols>
    <col min="1" max="1" width="9.77734375" bestFit="1" customWidth="1"/>
    <col min="2" max="2" width="9" bestFit="1" customWidth="1"/>
    <col min="3" max="3" width="17.33203125" bestFit="1" customWidth="1"/>
    <col min="4" max="4" width="10.21875" bestFit="1" customWidth="1"/>
    <col min="5" max="5" width="9.77734375" bestFit="1" customWidth="1"/>
    <col min="6" max="6" width="23.88671875" bestFit="1" customWidth="1"/>
    <col min="7" max="7" width="16.88671875" bestFit="1" customWidth="1"/>
    <col min="8" max="8" width="23.33203125" bestFit="1" customWidth="1"/>
    <col min="9" max="9" width="16.44140625" bestFit="1" customWidth="1"/>
    <col min="10" max="10" width="10" bestFit="1" customWidth="1"/>
  </cols>
  <sheetData>
    <row r="1" spans="1:10" x14ac:dyDescent="0.3">
      <c r="A1" s="11" t="s">
        <v>4</v>
      </c>
    </row>
    <row r="3" spans="1:10" x14ac:dyDescent="0.3">
      <c r="A3" t="s">
        <v>5</v>
      </c>
      <c r="B3" t="s">
        <v>6</v>
      </c>
      <c r="C3" t="s">
        <v>7</v>
      </c>
      <c r="D3" t="s">
        <v>8</v>
      </c>
      <c r="E3" t="s">
        <v>9</v>
      </c>
      <c r="F3" t="s">
        <v>10</v>
      </c>
      <c r="G3" t="s">
        <v>11</v>
      </c>
      <c r="H3" t="s">
        <v>12</v>
      </c>
      <c r="I3" t="s">
        <v>13</v>
      </c>
      <c r="J3" t="s">
        <v>14</v>
      </c>
    </row>
    <row r="4" spans="1:10" x14ac:dyDescent="0.3">
      <c r="A4" s="2">
        <v>45658</v>
      </c>
      <c r="B4" t="s">
        <v>15</v>
      </c>
      <c r="C4" t="s">
        <v>16</v>
      </c>
      <c r="D4" t="s">
        <v>17</v>
      </c>
      <c r="E4">
        <v>80</v>
      </c>
      <c r="F4">
        <v>195000</v>
      </c>
      <c r="G4">
        <v>15600000</v>
      </c>
      <c r="H4">
        <v>225000</v>
      </c>
      <c r="I4">
        <v>18000000</v>
      </c>
      <c r="J4">
        <v>2400000</v>
      </c>
    </row>
    <row r="5" spans="1:10" x14ac:dyDescent="0.3">
      <c r="A5" s="2">
        <v>45659</v>
      </c>
      <c r="B5" t="s">
        <v>15</v>
      </c>
      <c r="C5" t="s">
        <v>16</v>
      </c>
      <c r="D5" t="s">
        <v>18</v>
      </c>
      <c r="E5">
        <v>50</v>
      </c>
      <c r="F5">
        <v>115000</v>
      </c>
      <c r="G5">
        <v>5750000</v>
      </c>
      <c r="H5">
        <v>210000</v>
      </c>
      <c r="I5">
        <v>10500000</v>
      </c>
      <c r="J5">
        <v>4750000</v>
      </c>
    </row>
    <row r="6" spans="1:10" x14ac:dyDescent="0.3">
      <c r="A6" s="2">
        <v>45660</v>
      </c>
      <c r="B6" t="s">
        <v>15</v>
      </c>
      <c r="C6" t="s">
        <v>16</v>
      </c>
      <c r="D6" t="s">
        <v>19</v>
      </c>
      <c r="E6">
        <v>60</v>
      </c>
      <c r="F6">
        <v>135000</v>
      </c>
      <c r="G6">
        <v>8100000</v>
      </c>
      <c r="H6">
        <v>210000</v>
      </c>
      <c r="I6">
        <v>12600000</v>
      </c>
      <c r="J6">
        <v>4500000</v>
      </c>
    </row>
    <row r="7" spans="1:10" x14ac:dyDescent="0.3">
      <c r="A7" s="2">
        <v>45661</v>
      </c>
      <c r="B7" t="s">
        <v>15</v>
      </c>
      <c r="C7" t="s">
        <v>16</v>
      </c>
      <c r="D7" t="s">
        <v>17</v>
      </c>
      <c r="E7">
        <v>50</v>
      </c>
      <c r="F7">
        <v>145000</v>
      </c>
      <c r="G7">
        <v>7250000</v>
      </c>
      <c r="H7">
        <v>225000</v>
      </c>
      <c r="I7">
        <v>11250000</v>
      </c>
      <c r="J7">
        <v>4000000</v>
      </c>
    </row>
    <row r="8" spans="1:10" x14ac:dyDescent="0.3">
      <c r="A8" s="2">
        <v>45662</v>
      </c>
      <c r="B8" t="s">
        <v>15</v>
      </c>
      <c r="C8" t="s">
        <v>16</v>
      </c>
      <c r="D8" t="s">
        <v>18</v>
      </c>
      <c r="E8">
        <v>80</v>
      </c>
      <c r="F8">
        <v>155000</v>
      </c>
      <c r="G8">
        <v>12400000</v>
      </c>
      <c r="H8">
        <v>210000</v>
      </c>
      <c r="I8">
        <v>16800000</v>
      </c>
      <c r="J8">
        <v>4400000</v>
      </c>
    </row>
    <row r="9" spans="1:10" x14ac:dyDescent="0.3">
      <c r="A9" s="2">
        <v>45663</v>
      </c>
      <c r="B9" t="s">
        <v>15</v>
      </c>
      <c r="C9" t="s">
        <v>16</v>
      </c>
      <c r="D9" t="s">
        <v>19</v>
      </c>
      <c r="E9">
        <v>80</v>
      </c>
      <c r="F9">
        <v>85000</v>
      </c>
      <c r="G9">
        <v>6800000</v>
      </c>
      <c r="H9">
        <v>210000</v>
      </c>
      <c r="I9">
        <v>16800000</v>
      </c>
      <c r="J9">
        <v>10000000</v>
      </c>
    </row>
    <row r="10" spans="1:10" x14ac:dyDescent="0.3">
      <c r="A10" s="2">
        <v>45664</v>
      </c>
      <c r="B10" t="s">
        <v>15</v>
      </c>
      <c r="C10" t="s">
        <v>16</v>
      </c>
      <c r="D10" t="s">
        <v>17</v>
      </c>
      <c r="E10">
        <v>60</v>
      </c>
      <c r="F10">
        <v>165000</v>
      </c>
      <c r="G10">
        <v>9900000</v>
      </c>
      <c r="H10">
        <v>225000</v>
      </c>
      <c r="I10">
        <v>13500000</v>
      </c>
      <c r="J10">
        <v>3600000</v>
      </c>
    </row>
    <row r="11" spans="1:10" x14ac:dyDescent="0.3">
      <c r="A11" s="2">
        <v>45665</v>
      </c>
      <c r="B11" t="s">
        <v>20</v>
      </c>
      <c r="C11" t="s">
        <v>16</v>
      </c>
      <c r="D11" t="s">
        <v>18</v>
      </c>
      <c r="E11">
        <v>40</v>
      </c>
      <c r="F11">
        <v>145000</v>
      </c>
      <c r="G11">
        <v>5800000</v>
      </c>
      <c r="H11">
        <v>210000</v>
      </c>
      <c r="I11">
        <v>8400000</v>
      </c>
      <c r="J11">
        <v>2600000</v>
      </c>
    </row>
    <row r="12" spans="1:10" x14ac:dyDescent="0.3">
      <c r="A12" s="2">
        <v>45666</v>
      </c>
      <c r="B12" t="s">
        <v>21</v>
      </c>
      <c r="C12" t="s">
        <v>16</v>
      </c>
      <c r="D12" t="s">
        <v>19</v>
      </c>
      <c r="E12">
        <v>40</v>
      </c>
      <c r="F12">
        <v>115000</v>
      </c>
      <c r="G12">
        <v>4600000</v>
      </c>
      <c r="H12">
        <v>210000</v>
      </c>
      <c r="I12">
        <v>8400000</v>
      </c>
      <c r="J12">
        <v>3800000</v>
      </c>
    </row>
    <row r="13" spans="1:10" x14ac:dyDescent="0.3">
      <c r="A13" s="2">
        <v>45667</v>
      </c>
      <c r="B13" t="s">
        <v>21</v>
      </c>
      <c r="C13" t="s">
        <v>16</v>
      </c>
      <c r="D13" t="s">
        <v>17</v>
      </c>
      <c r="E13">
        <v>80</v>
      </c>
      <c r="F13">
        <v>95000</v>
      </c>
      <c r="G13">
        <v>7600000</v>
      </c>
      <c r="H13">
        <v>225000</v>
      </c>
      <c r="I13">
        <v>18000000</v>
      </c>
      <c r="J13">
        <v>10400000</v>
      </c>
    </row>
    <row r="14" spans="1:10" x14ac:dyDescent="0.3">
      <c r="A14" s="2">
        <v>45668</v>
      </c>
      <c r="B14" t="s">
        <v>15</v>
      </c>
      <c r="C14" t="s">
        <v>16</v>
      </c>
      <c r="D14" t="s">
        <v>18</v>
      </c>
      <c r="E14">
        <v>80</v>
      </c>
      <c r="F14">
        <v>95000</v>
      </c>
      <c r="G14">
        <v>7600000</v>
      </c>
      <c r="H14">
        <v>210000</v>
      </c>
      <c r="I14">
        <v>16800000</v>
      </c>
      <c r="J14">
        <v>9200000</v>
      </c>
    </row>
    <row r="15" spans="1:10" x14ac:dyDescent="0.3">
      <c r="A15" s="2">
        <v>45669</v>
      </c>
      <c r="B15" t="s">
        <v>15</v>
      </c>
      <c r="C15" t="s">
        <v>16</v>
      </c>
      <c r="D15" t="s">
        <v>19</v>
      </c>
      <c r="E15">
        <v>70</v>
      </c>
      <c r="F15">
        <v>125000</v>
      </c>
      <c r="G15">
        <v>8750000</v>
      </c>
      <c r="H15">
        <v>210000</v>
      </c>
      <c r="I15">
        <v>14700000</v>
      </c>
      <c r="J15">
        <v>5950000</v>
      </c>
    </row>
    <row r="16" spans="1:10" x14ac:dyDescent="0.3">
      <c r="A16" s="2">
        <v>45670</v>
      </c>
      <c r="B16" t="s">
        <v>15</v>
      </c>
      <c r="C16" t="s">
        <v>22</v>
      </c>
      <c r="D16" t="s">
        <v>17</v>
      </c>
      <c r="E16">
        <v>50</v>
      </c>
      <c r="F16">
        <v>185000</v>
      </c>
      <c r="G16">
        <v>9250000</v>
      </c>
      <c r="H16">
        <v>225000</v>
      </c>
      <c r="I16">
        <v>11250000</v>
      </c>
      <c r="J16">
        <v>2000000</v>
      </c>
    </row>
    <row r="17" spans="1:10" x14ac:dyDescent="0.3">
      <c r="A17" s="2">
        <v>45671</v>
      </c>
      <c r="B17" t="s">
        <v>15</v>
      </c>
      <c r="C17" t="s">
        <v>22</v>
      </c>
      <c r="D17" t="s">
        <v>18</v>
      </c>
      <c r="E17">
        <v>50</v>
      </c>
      <c r="F17">
        <v>155000</v>
      </c>
      <c r="G17">
        <v>7750000</v>
      </c>
      <c r="H17">
        <v>210000</v>
      </c>
      <c r="I17">
        <v>10500000</v>
      </c>
      <c r="J17">
        <v>2750000</v>
      </c>
    </row>
    <row r="18" spans="1:10" x14ac:dyDescent="0.3">
      <c r="A18" s="2">
        <v>45672</v>
      </c>
      <c r="B18" t="s">
        <v>15</v>
      </c>
      <c r="C18" t="s">
        <v>22</v>
      </c>
      <c r="D18" t="s">
        <v>19</v>
      </c>
      <c r="E18">
        <v>80</v>
      </c>
      <c r="F18">
        <v>105000</v>
      </c>
      <c r="G18">
        <v>8400000</v>
      </c>
      <c r="H18">
        <v>210000</v>
      </c>
      <c r="I18">
        <v>16800000</v>
      </c>
      <c r="J18">
        <v>8400000</v>
      </c>
    </row>
    <row r="19" spans="1:10" x14ac:dyDescent="0.3">
      <c r="A19" s="2">
        <v>45673</v>
      </c>
      <c r="B19" t="s">
        <v>15</v>
      </c>
      <c r="C19" t="s">
        <v>22</v>
      </c>
      <c r="D19" t="s">
        <v>17</v>
      </c>
      <c r="E19">
        <v>50</v>
      </c>
      <c r="F19">
        <v>195000</v>
      </c>
      <c r="G19">
        <v>9750000</v>
      </c>
      <c r="H19">
        <v>225000</v>
      </c>
      <c r="I19">
        <v>11250000</v>
      </c>
      <c r="J19">
        <v>1500000</v>
      </c>
    </row>
    <row r="20" spans="1:10" x14ac:dyDescent="0.3">
      <c r="A20" s="2">
        <v>45674</v>
      </c>
      <c r="B20" t="s">
        <v>15</v>
      </c>
      <c r="C20" t="s">
        <v>23</v>
      </c>
      <c r="D20" t="s">
        <v>18</v>
      </c>
      <c r="E20">
        <v>60</v>
      </c>
      <c r="F20">
        <v>125000</v>
      </c>
      <c r="G20">
        <v>7500000</v>
      </c>
      <c r="H20">
        <v>210000</v>
      </c>
      <c r="I20">
        <v>12600000</v>
      </c>
      <c r="J20">
        <v>5100000</v>
      </c>
    </row>
    <row r="21" spans="1:10" x14ac:dyDescent="0.3">
      <c r="A21" s="2">
        <v>45675</v>
      </c>
      <c r="B21" t="s">
        <v>20</v>
      </c>
      <c r="C21" t="s">
        <v>23</v>
      </c>
      <c r="D21" t="s">
        <v>19</v>
      </c>
      <c r="E21">
        <v>80</v>
      </c>
      <c r="F21">
        <v>185000</v>
      </c>
      <c r="G21">
        <v>14800000</v>
      </c>
      <c r="H21">
        <v>210000</v>
      </c>
      <c r="I21">
        <v>16800000</v>
      </c>
      <c r="J21">
        <v>2000000</v>
      </c>
    </row>
    <row r="22" spans="1:10" x14ac:dyDescent="0.3">
      <c r="A22" s="2">
        <v>45676</v>
      </c>
      <c r="B22" t="s">
        <v>21</v>
      </c>
      <c r="C22" t="s">
        <v>23</v>
      </c>
      <c r="D22" t="s">
        <v>17</v>
      </c>
      <c r="E22">
        <v>60</v>
      </c>
      <c r="F22">
        <v>205000</v>
      </c>
      <c r="G22">
        <v>12300000</v>
      </c>
      <c r="H22">
        <v>225000</v>
      </c>
      <c r="I22">
        <v>13500000</v>
      </c>
      <c r="J22">
        <v>1200000</v>
      </c>
    </row>
    <row r="23" spans="1:10" x14ac:dyDescent="0.3">
      <c r="A23" s="2">
        <v>45677</v>
      </c>
      <c r="B23" t="s">
        <v>21</v>
      </c>
      <c r="C23" t="s">
        <v>23</v>
      </c>
      <c r="D23" t="s">
        <v>18</v>
      </c>
      <c r="E23">
        <v>70</v>
      </c>
      <c r="F23">
        <v>115000</v>
      </c>
      <c r="G23">
        <v>8050000</v>
      </c>
      <c r="H23">
        <v>210000</v>
      </c>
      <c r="I23">
        <v>14700000</v>
      </c>
      <c r="J23">
        <v>6650000</v>
      </c>
    </row>
    <row r="24" spans="1:10" x14ac:dyDescent="0.3">
      <c r="A24" s="2">
        <v>45678</v>
      </c>
      <c r="B24" t="s">
        <v>20</v>
      </c>
      <c r="C24" t="s">
        <v>22</v>
      </c>
      <c r="D24" t="s">
        <v>19</v>
      </c>
      <c r="E24">
        <v>50</v>
      </c>
      <c r="F24">
        <v>185000</v>
      </c>
      <c r="G24">
        <v>9250000</v>
      </c>
      <c r="H24">
        <v>210000</v>
      </c>
      <c r="I24">
        <v>10500000</v>
      </c>
      <c r="J24">
        <v>1250000</v>
      </c>
    </row>
    <row r="25" spans="1:10" x14ac:dyDescent="0.3">
      <c r="A25" s="2">
        <v>45679</v>
      </c>
      <c r="B25" t="s">
        <v>20</v>
      </c>
      <c r="C25" t="s">
        <v>22</v>
      </c>
      <c r="D25" t="s">
        <v>17</v>
      </c>
      <c r="E25">
        <v>50</v>
      </c>
      <c r="F25">
        <v>145000</v>
      </c>
      <c r="G25">
        <v>7250000</v>
      </c>
      <c r="H25">
        <v>225000</v>
      </c>
      <c r="I25">
        <v>11250000</v>
      </c>
      <c r="J25">
        <v>4000000</v>
      </c>
    </row>
    <row r="26" spans="1:10" x14ac:dyDescent="0.3">
      <c r="A26" s="2">
        <v>45680</v>
      </c>
      <c r="B26" t="s">
        <v>15</v>
      </c>
      <c r="C26" t="s">
        <v>22</v>
      </c>
      <c r="D26" t="s">
        <v>18</v>
      </c>
      <c r="E26">
        <v>70</v>
      </c>
      <c r="F26">
        <v>125000</v>
      </c>
      <c r="G26">
        <v>8750000</v>
      </c>
      <c r="H26">
        <v>210000</v>
      </c>
      <c r="I26">
        <v>14700000</v>
      </c>
      <c r="J26">
        <v>5950000</v>
      </c>
    </row>
    <row r="27" spans="1:10" x14ac:dyDescent="0.3">
      <c r="A27" s="2">
        <v>45681</v>
      </c>
      <c r="B27" t="s">
        <v>15</v>
      </c>
      <c r="C27" t="s">
        <v>22</v>
      </c>
      <c r="D27" t="s">
        <v>19</v>
      </c>
      <c r="E27">
        <v>60</v>
      </c>
      <c r="F27">
        <v>85000</v>
      </c>
      <c r="G27">
        <v>5100000</v>
      </c>
      <c r="H27">
        <v>210000</v>
      </c>
      <c r="I27">
        <v>12600000</v>
      </c>
      <c r="J27">
        <v>7500000</v>
      </c>
    </row>
    <row r="28" spans="1:10" x14ac:dyDescent="0.3">
      <c r="A28" s="2">
        <v>45682</v>
      </c>
      <c r="B28" t="s">
        <v>15</v>
      </c>
      <c r="C28" t="s">
        <v>22</v>
      </c>
      <c r="D28" t="s">
        <v>17</v>
      </c>
      <c r="E28">
        <v>90</v>
      </c>
      <c r="F28">
        <v>185000</v>
      </c>
      <c r="G28">
        <v>16650000</v>
      </c>
      <c r="H28">
        <v>225000</v>
      </c>
      <c r="I28">
        <v>20250000</v>
      </c>
      <c r="J28">
        <v>3600000</v>
      </c>
    </row>
    <row r="29" spans="1:10" x14ac:dyDescent="0.3">
      <c r="A29" s="2">
        <v>45683</v>
      </c>
      <c r="B29" t="s">
        <v>15</v>
      </c>
      <c r="C29" t="s">
        <v>22</v>
      </c>
      <c r="D29" t="s">
        <v>18</v>
      </c>
      <c r="E29">
        <v>50</v>
      </c>
      <c r="F29">
        <v>145000</v>
      </c>
      <c r="G29">
        <v>7250000</v>
      </c>
      <c r="H29">
        <v>210000</v>
      </c>
      <c r="I29">
        <v>10500000</v>
      </c>
      <c r="J29">
        <v>3250000</v>
      </c>
    </row>
    <row r="30" spans="1:10" x14ac:dyDescent="0.3">
      <c r="A30" s="2">
        <v>45684</v>
      </c>
      <c r="B30" t="s">
        <v>15</v>
      </c>
      <c r="C30" t="s">
        <v>22</v>
      </c>
      <c r="D30" t="s">
        <v>19</v>
      </c>
      <c r="E30">
        <v>70</v>
      </c>
      <c r="F30">
        <v>155000</v>
      </c>
      <c r="G30">
        <v>10850000</v>
      </c>
      <c r="H30">
        <v>210000</v>
      </c>
      <c r="I30">
        <v>14700000</v>
      </c>
      <c r="J30">
        <v>3850000</v>
      </c>
    </row>
    <row r="31" spans="1:10" x14ac:dyDescent="0.3">
      <c r="A31" s="2">
        <v>45685</v>
      </c>
      <c r="B31" t="s">
        <v>15</v>
      </c>
      <c r="C31" t="s">
        <v>22</v>
      </c>
      <c r="D31" t="s">
        <v>17</v>
      </c>
      <c r="E31">
        <v>50</v>
      </c>
      <c r="F31">
        <v>175000</v>
      </c>
      <c r="G31">
        <v>8750000</v>
      </c>
      <c r="H31">
        <v>225000</v>
      </c>
      <c r="I31">
        <v>11250000</v>
      </c>
      <c r="J31">
        <v>2500000</v>
      </c>
    </row>
    <row r="32" spans="1:10" x14ac:dyDescent="0.3">
      <c r="A32" s="2">
        <v>45686</v>
      </c>
      <c r="B32" t="s">
        <v>15</v>
      </c>
      <c r="C32" t="s">
        <v>22</v>
      </c>
      <c r="D32" t="s">
        <v>18</v>
      </c>
      <c r="E32">
        <v>70</v>
      </c>
      <c r="F32">
        <v>195000</v>
      </c>
      <c r="G32">
        <v>13650000</v>
      </c>
      <c r="H32">
        <v>210000</v>
      </c>
      <c r="I32">
        <v>14700000</v>
      </c>
      <c r="J32">
        <v>1050000</v>
      </c>
    </row>
    <row r="33" spans="1:10" x14ac:dyDescent="0.3">
      <c r="A33" s="2">
        <v>45687</v>
      </c>
      <c r="B33" t="s">
        <v>20</v>
      </c>
      <c r="C33" t="s">
        <v>22</v>
      </c>
      <c r="D33" t="s">
        <v>19</v>
      </c>
      <c r="E33">
        <v>60</v>
      </c>
      <c r="F33">
        <v>185000</v>
      </c>
      <c r="G33">
        <v>11100000</v>
      </c>
      <c r="H33">
        <v>210000</v>
      </c>
      <c r="I33">
        <v>12600000</v>
      </c>
      <c r="J33">
        <v>1500000</v>
      </c>
    </row>
    <row r="34" spans="1:10" x14ac:dyDescent="0.3">
      <c r="A34" s="2">
        <v>45688</v>
      </c>
      <c r="B34" t="s">
        <v>21</v>
      </c>
      <c r="C34" t="s">
        <v>22</v>
      </c>
      <c r="D34" t="s">
        <v>17</v>
      </c>
      <c r="E34">
        <v>70</v>
      </c>
      <c r="F34">
        <v>165000</v>
      </c>
      <c r="G34">
        <v>11550000</v>
      </c>
      <c r="H34">
        <v>225000</v>
      </c>
      <c r="I34">
        <v>15750000</v>
      </c>
      <c r="J34">
        <v>4200000</v>
      </c>
    </row>
    <row r="35" spans="1:10" x14ac:dyDescent="0.3">
      <c r="A35" s="2">
        <v>45689</v>
      </c>
      <c r="B35" t="s">
        <v>21</v>
      </c>
      <c r="C35" t="s">
        <v>22</v>
      </c>
      <c r="D35" t="s">
        <v>18</v>
      </c>
      <c r="E35">
        <v>50</v>
      </c>
      <c r="F35">
        <v>185000</v>
      </c>
      <c r="G35">
        <v>9250000</v>
      </c>
      <c r="H35">
        <v>210000</v>
      </c>
      <c r="I35">
        <v>10500000</v>
      </c>
      <c r="J35">
        <v>1250000</v>
      </c>
    </row>
    <row r="36" spans="1:10" x14ac:dyDescent="0.3">
      <c r="A36" s="2">
        <v>45690</v>
      </c>
      <c r="B36" t="s">
        <v>15</v>
      </c>
      <c r="C36" t="s">
        <v>16</v>
      </c>
      <c r="D36" t="s">
        <v>19</v>
      </c>
      <c r="E36">
        <v>40</v>
      </c>
      <c r="F36">
        <v>95000</v>
      </c>
      <c r="G36">
        <v>3800000</v>
      </c>
      <c r="H36">
        <v>210000</v>
      </c>
      <c r="I36">
        <v>8400000</v>
      </c>
      <c r="J36">
        <v>4600000</v>
      </c>
    </row>
    <row r="37" spans="1:10" x14ac:dyDescent="0.3">
      <c r="A37" s="2">
        <v>45691</v>
      </c>
      <c r="B37" t="s">
        <v>15</v>
      </c>
      <c r="C37" t="s">
        <v>16</v>
      </c>
      <c r="D37" t="s">
        <v>17</v>
      </c>
      <c r="E37">
        <v>60</v>
      </c>
      <c r="F37">
        <v>115000</v>
      </c>
      <c r="G37">
        <v>6900000</v>
      </c>
      <c r="H37">
        <v>225000</v>
      </c>
      <c r="I37">
        <v>13500000</v>
      </c>
      <c r="J37">
        <v>6600000</v>
      </c>
    </row>
    <row r="38" spans="1:10" x14ac:dyDescent="0.3">
      <c r="A38" s="2">
        <v>45692</v>
      </c>
      <c r="B38" t="s">
        <v>15</v>
      </c>
      <c r="C38" t="s">
        <v>16</v>
      </c>
      <c r="D38" t="s">
        <v>18</v>
      </c>
      <c r="E38">
        <v>50</v>
      </c>
      <c r="F38">
        <v>135000</v>
      </c>
      <c r="G38">
        <v>6750000</v>
      </c>
      <c r="H38">
        <v>210000</v>
      </c>
      <c r="I38">
        <v>10500000</v>
      </c>
      <c r="J38">
        <v>3750000</v>
      </c>
    </row>
    <row r="39" spans="1:10" x14ac:dyDescent="0.3">
      <c r="A39" s="2">
        <v>45693</v>
      </c>
      <c r="B39" t="s">
        <v>15</v>
      </c>
      <c r="C39" t="s">
        <v>16</v>
      </c>
      <c r="D39" t="s">
        <v>19</v>
      </c>
      <c r="E39">
        <v>70</v>
      </c>
      <c r="F39">
        <v>205000</v>
      </c>
      <c r="G39">
        <v>14350000</v>
      </c>
      <c r="H39">
        <v>210000</v>
      </c>
      <c r="I39">
        <v>14700000</v>
      </c>
      <c r="J39">
        <v>350000</v>
      </c>
    </row>
    <row r="40" spans="1:10" x14ac:dyDescent="0.3">
      <c r="A40" s="2">
        <v>45694</v>
      </c>
      <c r="B40" t="s">
        <v>15</v>
      </c>
      <c r="C40" t="s">
        <v>16</v>
      </c>
      <c r="D40" t="s">
        <v>17</v>
      </c>
      <c r="E40">
        <v>40</v>
      </c>
      <c r="F40">
        <v>155000</v>
      </c>
      <c r="G40">
        <v>6200000</v>
      </c>
      <c r="H40">
        <v>225000</v>
      </c>
      <c r="I40">
        <v>9000000</v>
      </c>
      <c r="J40">
        <v>2800000</v>
      </c>
    </row>
    <row r="41" spans="1:10" x14ac:dyDescent="0.3">
      <c r="A41" s="2">
        <v>45695</v>
      </c>
      <c r="B41" t="s">
        <v>15</v>
      </c>
      <c r="C41" t="s">
        <v>16</v>
      </c>
      <c r="D41" t="s">
        <v>18</v>
      </c>
      <c r="E41">
        <v>80</v>
      </c>
      <c r="F41">
        <v>175000</v>
      </c>
      <c r="G41">
        <v>14000000</v>
      </c>
      <c r="H41">
        <v>210000</v>
      </c>
      <c r="I41">
        <v>16800000</v>
      </c>
      <c r="J41">
        <v>2800000</v>
      </c>
    </row>
    <row r="42" spans="1:10" x14ac:dyDescent="0.3">
      <c r="A42" s="2">
        <v>45696</v>
      </c>
      <c r="B42" t="s">
        <v>15</v>
      </c>
      <c r="C42" t="s">
        <v>16</v>
      </c>
      <c r="D42" t="s">
        <v>19</v>
      </c>
      <c r="E42">
        <v>50</v>
      </c>
      <c r="F42">
        <v>145000</v>
      </c>
      <c r="G42">
        <v>7250000</v>
      </c>
      <c r="H42">
        <v>210000</v>
      </c>
      <c r="I42">
        <v>10500000</v>
      </c>
      <c r="J42">
        <v>3250000</v>
      </c>
    </row>
    <row r="43" spans="1:10" x14ac:dyDescent="0.3">
      <c r="A43" s="2">
        <v>45697</v>
      </c>
      <c r="B43" t="s">
        <v>20</v>
      </c>
      <c r="C43" t="s">
        <v>16</v>
      </c>
      <c r="D43" t="s">
        <v>17</v>
      </c>
      <c r="E43">
        <v>90</v>
      </c>
      <c r="F43">
        <v>205000</v>
      </c>
      <c r="G43">
        <v>18450000</v>
      </c>
      <c r="H43">
        <v>225000</v>
      </c>
      <c r="I43">
        <v>20250000</v>
      </c>
      <c r="J43">
        <v>1800000</v>
      </c>
    </row>
    <row r="44" spans="1:10" x14ac:dyDescent="0.3">
      <c r="A44" s="2">
        <v>45698</v>
      </c>
      <c r="B44" t="s">
        <v>21</v>
      </c>
      <c r="C44" t="s">
        <v>16</v>
      </c>
      <c r="D44" t="s">
        <v>18</v>
      </c>
      <c r="E44">
        <v>90</v>
      </c>
      <c r="F44">
        <v>215000</v>
      </c>
      <c r="G44">
        <v>19350000</v>
      </c>
      <c r="H44">
        <v>210000</v>
      </c>
      <c r="I44">
        <v>18900000</v>
      </c>
      <c r="J44">
        <v>-450000</v>
      </c>
    </row>
    <row r="45" spans="1:10" x14ac:dyDescent="0.3">
      <c r="A45" s="2">
        <v>45699</v>
      </c>
      <c r="B45" t="s">
        <v>21</v>
      </c>
      <c r="C45" t="s">
        <v>16</v>
      </c>
      <c r="D45" t="s">
        <v>19</v>
      </c>
      <c r="E45">
        <v>60</v>
      </c>
      <c r="F45">
        <v>185000</v>
      </c>
      <c r="G45">
        <v>11100000</v>
      </c>
      <c r="H45">
        <v>210000</v>
      </c>
      <c r="I45">
        <v>12600000</v>
      </c>
      <c r="J45">
        <v>1500000</v>
      </c>
    </row>
    <row r="46" spans="1:10" x14ac:dyDescent="0.3">
      <c r="A46" s="2">
        <v>45700</v>
      </c>
      <c r="B46" t="s">
        <v>15</v>
      </c>
      <c r="C46" t="s">
        <v>16</v>
      </c>
      <c r="D46" t="s">
        <v>17</v>
      </c>
      <c r="E46">
        <v>70</v>
      </c>
      <c r="F46">
        <v>115000</v>
      </c>
      <c r="G46">
        <v>8050000</v>
      </c>
      <c r="H46">
        <v>225000</v>
      </c>
      <c r="I46">
        <v>15750000</v>
      </c>
      <c r="J46">
        <v>7700000</v>
      </c>
    </row>
    <row r="47" spans="1:10" x14ac:dyDescent="0.3">
      <c r="A47" s="2">
        <v>45701</v>
      </c>
      <c r="B47" t="s">
        <v>15</v>
      </c>
      <c r="C47" t="s">
        <v>16</v>
      </c>
      <c r="D47" t="s">
        <v>18</v>
      </c>
      <c r="E47">
        <v>80</v>
      </c>
      <c r="F47">
        <v>115000</v>
      </c>
      <c r="G47">
        <v>9200000</v>
      </c>
      <c r="H47">
        <v>210000</v>
      </c>
      <c r="I47">
        <v>16800000</v>
      </c>
      <c r="J47">
        <v>7600000</v>
      </c>
    </row>
    <row r="48" spans="1:10" x14ac:dyDescent="0.3">
      <c r="A48" s="2">
        <v>45702</v>
      </c>
      <c r="B48" t="s">
        <v>15</v>
      </c>
      <c r="C48" t="s">
        <v>22</v>
      </c>
      <c r="D48" t="s">
        <v>19</v>
      </c>
      <c r="E48">
        <v>40</v>
      </c>
      <c r="F48">
        <v>105000</v>
      </c>
      <c r="G48">
        <v>4200000</v>
      </c>
      <c r="H48">
        <v>210000</v>
      </c>
      <c r="I48">
        <v>8400000</v>
      </c>
      <c r="J48">
        <v>4200000</v>
      </c>
    </row>
    <row r="49" spans="1:10" x14ac:dyDescent="0.3">
      <c r="A49" s="2">
        <v>45703</v>
      </c>
      <c r="B49" t="s">
        <v>15</v>
      </c>
      <c r="C49" t="s">
        <v>22</v>
      </c>
      <c r="D49" t="s">
        <v>17</v>
      </c>
      <c r="E49">
        <v>80</v>
      </c>
      <c r="F49">
        <v>135000</v>
      </c>
      <c r="G49">
        <v>10800000</v>
      </c>
      <c r="H49">
        <v>225000</v>
      </c>
      <c r="I49">
        <v>18000000</v>
      </c>
      <c r="J49">
        <v>7200000</v>
      </c>
    </row>
    <row r="50" spans="1:10" x14ac:dyDescent="0.3">
      <c r="A50" s="2">
        <v>45704</v>
      </c>
      <c r="B50" t="s">
        <v>15</v>
      </c>
      <c r="C50" t="s">
        <v>22</v>
      </c>
      <c r="D50" t="s">
        <v>18</v>
      </c>
      <c r="E50">
        <v>60</v>
      </c>
      <c r="F50">
        <v>205000</v>
      </c>
      <c r="G50">
        <v>12300000</v>
      </c>
      <c r="H50">
        <v>210000</v>
      </c>
      <c r="I50">
        <v>12600000</v>
      </c>
      <c r="J50">
        <v>300000</v>
      </c>
    </row>
    <row r="51" spans="1:10" x14ac:dyDescent="0.3">
      <c r="A51" s="2">
        <v>45705</v>
      </c>
      <c r="B51" t="s">
        <v>15</v>
      </c>
      <c r="C51" t="s">
        <v>22</v>
      </c>
      <c r="D51" t="s">
        <v>19</v>
      </c>
      <c r="E51">
        <v>70</v>
      </c>
      <c r="F51">
        <v>115000</v>
      </c>
      <c r="G51">
        <v>8050000</v>
      </c>
      <c r="H51">
        <v>210000</v>
      </c>
      <c r="I51">
        <v>14700000</v>
      </c>
      <c r="J51">
        <v>6650000</v>
      </c>
    </row>
    <row r="52" spans="1:10" x14ac:dyDescent="0.3">
      <c r="A52" s="2">
        <v>45706</v>
      </c>
      <c r="B52" t="s">
        <v>15</v>
      </c>
      <c r="C52" t="s">
        <v>23</v>
      </c>
      <c r="D52" t="s">
        <v>17</v>
      </c>
      <c r="E52">
        <v>50</v>
      </c>
      <c r="F52">
        <v>165000</v>
      </c>
      <c r="G52">
        <v>8250000</v>
      </c>
      <c r="H52">
        <v>225000</v>
      </c>
      <c r="I52">
        <v>11250000</v>
      </c>
      <c r="J52">
        <v>3000000</v>
      </c>
    </row>
    <row r="53" spans="1:10" x14ac:dyDescent="0.3">
      <c r="A53" s="2">
        <v>45707</v>
      </c>
      <c r="B53" t="s">
        <v>20</v>
      </c>
      <c r="C53" t="s">
        <v>23</v>
      </c>
      <c r="D53" t="s">
        <v>18</v>
      </c>
      <c r="E53">
        <v>70</v>
      </c>
      <c r="F53">
        <v>115000</v>
      </c>
      <c r="G53">
        <v>8050000</v>
      </c>
      <c r="H53">
        <v>210000</v>
      </c>
      <c r="I53">
        <v>14700000</v>
      </c>
      <c r="J53">
        <v>6650000</v>
      </c>
    </row>
    <row r="54" spans="1:10" x14ac:dyDescent="0.3">
      <c r="A54" s="2">
        <v>45708</v>
      </c>
      <c r="B54" t="s">
        <v>21</v>
      </c>
      <c r="C54" t="s">
        <v>23</v>
      </c>
      <c r="D54" t="s">
        <v>19</v>
      </c>
      <c r="E54">
        <v>60</v>
      </c>
      <c r="F54">
        <v>165000</v>
      </c>
      <c r="G54">
        <v>9900000</v>
      </c>
      <c r="H54">
        <v>210000</v>
      </c>
      <c r="I54">
        <v>12600000</v>
      </c>
      <c r="J54">
        <v>2700000</v>
      </c>
    </row>
    <row r="55" spans="1:10" x14ac:dyDescent="0.3">
      <c r="A55" s="2">
        <v>45709</v>
      </c>
      <c r="B55" t="s">
        <v>21</v>
      </c>
      <c r="C55" t="s">
        <v>23</v>
      </c>
      <c r="D55" t="s">
        <v>17</v>
      </c>
      <c r="E55">
        <v>50</v>
      </c>
      <c r="F55">
        <v>95000</v>
      </c>
      <c r="G55">
        <v>4750000</v>
      </c>
      <c r="H55">
        <v>225000</v>
      </c>
      <c r="I55">
        <v>11250000</v>
      </c>
      <c r="J55">
        <v>6500000</v>
      </c>
    </row>
    <row r="56" spans="1:10" x14ac:dyDescent="0.3">
      <c r="A56" s="2">
        <v>45710</v>
      </c>
      <c r="B56" t="s">
        <v>15</v>
      </c>
      <c r="C56" t="s">
        <v>16</v>
      </c>
      <c r="D56" t="s">
        <v>18</v>
      </c>
      <c r="E56">
        <v>40</v>
      </c>
      <c r="F56">
        <v>205000</v>
      </c>
      <c r="G56">
        <v>8200000</v>
      </c>
      <c r="H56">
        <v>210000</v>
      </c>
      <c r="I56">
        <v>8400000</v>
      </c>
      <c r="J56">
        <v>200000</v>
      </c>
    </row>
    <row r="57" spans="1:10" x14ac:dyDescent="0.3">
      <c r="A57" s="2">
        <v>45711</v>
      </c>
      <c r="B57" t="s">
        <v>15</v>
      </c>
      <c r="C57" t="s">
        <v>16</v>
      </c>
      <c r="D57" t="s">
        <v>19</v>
      </c>
      <c r="E57">
        <v>90</v>
      </c>
      <c r="F57">
        <v>145000</v>
      </c>
      <c r="G57">
        <v>13050000</v>
      </c>
      <c r="H57">
        <v>210000</v>
      </c>
      <c r="I57">
        <v>18900000</v>
      </c>
      <c r="J57">
        <v>5850000</v>
      </c>
    </row>
    <row r="58" spans="1:10" x14ac:dyDescent="0.3">
      <c r="A58" s="2">
        <v>45712</v>
      </c>
      <c r="B58" t="s">
        <v>15</v>
      </c>
      <c r="C58" t="s">
        <v>16</v>
      </c>
      <c r="D58" t="s">
        <v>17</v>
      </c>
      <c r="E58">
        <v>50</v>
      </c>
      <c r="F58">
        <v>175000</v>
      </c>
      <c r="G58">
        <v>8750000</v>
      </c>
      <c r="H58">
        <v>225000</v>
      </c>
      <c r="I58">
        <v>11250000</v>
      </c>
      <c r="J58">
        <v>2500000</v>
      </c>
    </row>
    <row r="59" spans="1:10" x14ac:dyDescent="0.3">
      <c r="A59" s="2">
        <v>45713</v>
      </c>
      <c r="B59" t="s">
        <v>15</v>
      </c>
      <c r="C59" t="s">
        <v>16</v>
      </c>
      <c r="D59" t="s">
        <v>18</v>
      </c>
      <c r="E59">
        <v>40</v>
      </c>
      <c r="F59">
        <v>175000</v>
      </c>
      <c r="G59">
        <v>7000000</v>
      </c>
      <c r="H59">
        <v>210000</v>
      </c>
      <c r="I59">
        <v>8400000</v>
      </c>
      <c r="J59">
        <v>1400000</v>
      </c>
    </row>
    <row r="60" spans="1:10" x14ac:dyDescent="0.3">
      <c r="A60" s="2">
        <v>45714</v>
      </c>
      <c r="B60" t="s">
        <v>15</v>
      </c>
      <c r="C60" t="s">
        <v>16</v>
      </c>
      <c r="D60" t="s">
        <v>19</v>
      </c>
      <c r="E60">
        <v>40</v>
      </c>
      <c r="F60">
        <v>115000</v>
      </c>
      <c r="G60">
        <v>4600000</v>
      </c>
      <c r="H60">
        <v>210000</v>
      </c>
      <c r="I60">
        <v>8400000</v>
      </c>
      <c r="J60">
        <v>3800000</v>
      </c>
    </row>
    <row r="61" spans="1:10" x14ac:dyDescent="0.3">
      <c r="A61" s="2">
        <v>45715</v>
      </c>
      <c r="B61" t="s">
        <v>15</v>
      </c>
      <c r="C61" t="s">
        <v>16</v>
      </c>
      <c r="D61" t="s">
        <v>17</v>
      </c>
      <c r="E61">
        <v>80</v>
      </c>
      <c r="F61">
        <v>155000</v>
      </c>
      <c r="G61">
        <v>12400000</v>
      </c>
      <c r="H61">
        <v>225000</v>
      </c>
      <c r="I61">
        <v>18000000</v>
      </c>
      <c r="J61">
        <v>5600000</v>
      </c>
    </row>
    <row r="62" spans="1:10" x14ac:dyDescent="0.3">
      <c r="A62" s="2">
        <v>45716</v>
      </c>
      <c r="B62" t="s">
        <v>15</v>
      </c>
      <c r="C62" t="s">
        <v>16</v>
      </c>
      <c r="D62" t="s">
        <v>18</v>
      </c>
      <c r="E62">
        <v>60</v>
      </c>
      <c r="F62">
        <v>165000</v>
      </c>
      <c r="G62">
        <v>9900000</v>
      </c>
      <c r="H62">
        <v>210000</v>
      </c>
      <c r="I62">
        <v>12600000</v>
      </c>
      <c r="J62">
        <v>2700000</v>
      </c>
    </row>
    <row r="63" spans="1:10" x14ac:dyDescent="0.3">
      <c r="A63" s="2">
        <v>45717</v>
      </c>
      <c r="B63" t="s">
        <v>20</v>
      </c>
      <c r="C63" t="s">
        <v>16</v>
      </c>
      <c r="D63" t="s">
        <v>19</v>
      </c>
      <c r="E63">
        <v>70</v>
      </c>
      <c r="F63">
        <v>165000</v>
      </c>
      <c r="G63">
        <v>11550000</v>
      </c>
      <c r="H63">
        <v>210000</v>
      </c>
      <c r="I63">
        <v>14700000</v>
      </c>
      <c r="J63">
        <v>3150000</v>
      </c>
    </row>
    <row r="64" spans="1:10" x14ac:dyDescent="0.3">
      <c r="A64" s="2">
        <v>45718</v>
      </c>
      <c r="B64" t="s">
        <v>21</v>
      </c>
      <c r="C64" t="s">
        <v>16</v>
      </c>
      <c r="D64" t="s">
        <v>17</v>
      </c>
      <c r="E64">
        <v>50</v>
      </c>
      <c r="F64">
        <v>195000</v>
      </c>
      <c r="G64">
        <v>9750000</v>
      </c>
      <c r="H64">
        <v>225000</v>
      </c>
      <c r="I64">
        <v>11250000</v>
      </c>
      <c r="J64">
        <v>1500000</v>
      </c>
    </row>
    <row r="65" spans="1:10" x14ac:dyDescent="0.3">
      <c r="A65" s="2">
        <v>45719</v>
      </c>
      <c r="B65" t="s">
        <v>21</v>
      </c>
      <c r="C65" t="s">
        <v>16</v>
      </c>
      <c r="D65" t="s">
        <v>18</v>
      </c>
      <c r="E65">
        <v>70</v>
      </c>
      <c r="F65">
        <v>135000</v>
      </c>
      <c r="G65">
        <v>9450000</v>
      </c>
      <c r="H65">
        <v>210000</v>
      </c>
      <c r="I65">
        <v>14700000</v>
      </c>
      <c r="J65">
        <v>5250000</v>
      </c>
    </row>
    <row r="66" spans="1:10" x14ac:dyDescent="0.3">
      <c r="A66" s="2">
        <v>45720</v>
      </c>
      <c r="B66" t="s">
        <v>15</v>
      </c>
      <c r="C66" t="s">
        <v>16</v>
      </c>
      <c r="D66" t="s">
        <v>19</v>
      </c>
      <c r="E66">
        <v>50</v>
      </c>
      <c r="F66">
        <v>135000</v>
      </c>
      <c r="G66">
        <v>6750000</v>
      </c>
      <c r="H66">
        <v>210000</v>
      </c>
      <c r="I66">
        <v>10500000</v>
      </c>
      <c r="J66">
        <v>3750000</v>
      </c>
    </row>
    <row r="67" spans="1:10" x14ac:dyDescent="0.3">
      <c r="A67" s="2">
        <v>45721</v>
      </c>
      <c r="B67" t="s">
        <v>15</v>
      </c>
      <c r="C67" t="s">
        <v>16</v>
      </c>
      <c r="D67" t="s">
        <v>17</v>
      </c>
      <c r="E67">
        <v>60</v>
      </c>
      <c r="F67">
        <v>115000</v>
      </c>
      <c r="G67">
        <v>6900000</v>
      </c>
      <c r="H67">
        <v>225000</v>
      </c>
      <c r="I67">
        <v>13500000</v>
      </c>
      <c r="J67">
        <v>6600000</v>
      </c>
    </row>
    <row r="68" spans="1:10" x14ac:dyDescent="0.3">
      <c r="A68" s="2">
        <v>45722</v>
      </c>
      <c r="B68" t="s">
        <v>15</v>
      </c>
      <c r="C68" t="s">
        <v>22</v>
      </c>
      <c r="D68" t="s">
        <v>18</v>
      </c>
      <c r="E68">
        <v>80</v>
      </c>
      <c r="F68">
        <v>125000</v>
      </c>
      <c r="G68">
        <v>10000000</v>
      </c>
      <c r="H68">
        <v>210000</v>
      </c>
      <c r="I68">
        <v>16800000</v>
      </c>
      <c r="J68">
        <v>6800000</v>
      </c>
    </row>
    <row r="69" spans="1:10" x14ac:dyDescent="0.3">
      <c r="A69" s="2">
        <v>45723</v>
      </c>
      <c r="B69" t="s">
        <v>15</v>
      </c>
      <c r="C69" t="s">
        <v>22</v>
      </c>
      <c r="D69" t="s">
        <v>19</v>
      </c>
      <c r="E69">
        <v>40</v>
      </c>
      <c r="F69">
        <v>115000</v>
      </c>
      <c r="G69">
        <v>4600000</v>
      </c>
      <c r="H69">
        <v>210000</v>
      </c>
      <c r="I69">
        <v>8400000</v>
      </c>
      <c r="J69">
        <v>3800000</v>
      </c>
    </row>
    <row r="70" spans="1:10" x14ac:dyDescent="0.3">
      <c r="A70" s="2">
        <v>45724</v>
      </c>
      <c r="B70" t="s">
        <v>15</v>
      </c>
      <c r="C70" t="s">
        <v>22</v>
      </c>
      <c r="D70" t="s">
        <v>17</v>
      </c>
      <c r="E70">
        <v>70</v>
      </c>
      <c r="F70">
        <v>205000</v>
      </c>
      <c r="G70">
        <v>14350000</v>
      </c>
      <c r="H70">
        <v>225000</v>
      </c>
      <c r="I70">
        <v>15750000</v>
      </c>
      <c r="J70">
        <v>1400000</v>
      </c>
    </row>
    <row r="71" spans="1:10" x14ac:dyDescent="0.3">
      <c r="A71" s="2">
        <v>45725</v>
      </c>
      <c r="B71" t="s">
        <v>15</v>
      </c>
      <c r="C71" t="s">
        <v>22</v>
      </c>
      <c r="D71" t="s">
        <v>18</v>
      </c>
      <c r="E71">
        <v>90</v>
      </c>
      <c r="F71">
        <v>195000</v>
      </c>
      <c r="G71">
        <v>17550000</v>
      </c>
      <c r="H71">
        <v>210000</v>
      </c>
      <c r="I71">
        <v>18900000</v>
      </c>
      <c r="J71">
        <v>1350000</v>
      </c>
    </row>
    <row r="72" spans="1:10" x14ac:dyDescent="0.3">
      <c r="A72" s="2">
        <v>45726</v>
      </c>
      <c r="B72" t="s">
        <v>15</v>
      </c>
      <c r="C72" t="s">
        <v>23</v>
      </c>
      <c r="D72" t="s">
        <v>19</v>
      </c>
      <c r="E72">
        <v>60</v>
      </c>
      <c r="F72">
        <v>205000</v>
      </c>
      <c r="G72">
        <v>12300000</v>
      </c>
      <c r="H72">
        <v>210000</v>
      </c>
      <c r="I72">
        <v>12600000</v>
      </c>
      <c r="J72">
        <v>300000</v>
      </c>
    </row>
    <row r="73" spans="1:10" x14ac:dyDescent="0.3">
      <c r="A73" s="2">
        <v>45727</v>
      </c>
      <c r="B73" t="s">
        <v>20</v>
      </c>
      <c r="C73" t="s">
        <v>23</v>
      </c>
      <c r="D73" t="s">
        <v>17</v>
      </c>
      <c r="E73">
        <v>70</v>
      </c>
      <c r="F73">
        <v>215000</v>
      </c>
      <c r="G73">
        <v>15050000</v>
      </c>
      <c r="H73">
        <v>225000</v>
      </c>
      <c r="I73">
        <v>15750000</v>
      </c>
      <c r="J73">
        <v>700000</v>
      </c>
    </row>
    <row r="74" spans="1:10" x14ac:dyDescent="0.3">
      <c r="A74" s="2">
        <v>45728</v>
      </c>
      <c r="B74" t="s">
        <v>21</v>
      </c>
      <c r="C74" t="s">
        <v>23</v>
      </c>
      <c r="D74" t="s">
        <v>18</v>
      </c>
      <c r="E74">
        <v>80</v>
      </c>
      <c r="F74">
        <v>105000</v>
      </c>
      <c r="G74">
        <v>8400000</v>
      </c>
      <c r="H74">
        <v>210000</v>
      </c>
      <c r="I74">
        <v>16800000</v>
      </c>
      <c r="J74">
        <v>8400000</v>
      </c>
    </row>
    <row r="75" spans="1:10" x14ac:dyDescent="0.3">
      <c r="A75" s="2">
        <v>45729</v>
      </c>
      <c r="B75" t="s">
        <v>21</v>
      </c>
      <c r="C75" t="s">
        <v>23</v>
      </c>
      <c r="D75" t="s">
        <v>19</v>
      </c>
      <c r="E75">
        <v>40</v>
      </c>
      <c r="F75">
        <v>165000</v>
      </c>
      <c r="G75">
        <v>6600000</v>
      </c>
      <c r="H75">
        <v>210000</v>
      </c>
      <c r="I75">
        <v>8400000</v>
      </c>
      <c r="J75">
        <v>1800000</v>
      </c>
    </row>
    <row r="76" spans="1:10" x14ac:dyDescent="0.3">
      <c r="A76" s="2">
        <v>45730</v>
      </c>
      <c r="B76" t="s">
        <v>15</v>
      </c>
      <c r="C76" t="s">
        <v>16</v>
      </c>
      <c r="D76" t="s">
        <v>17</v>
      </c>
      <c r="E76">
        <v>50</v>
      </c>
      <c r="F76">
        <v>155000</v>
      </c>
      <c r="G76">
        <v>7750000</v>
      </c>
      <c r="H76">
        <v>225000</v>
      </c>
      <c r="I76">
        <v>11250000</v>
      </c>
      <c r="J76">
        <v>3500000</v>
      </c>
    </row>
    <row r="77" spans="1:10" x14ac:dyDescent="0.3">
      <c r="A77" s="2">
        <v>45731</v>
      </c>
      <c r="B77" t="s">
        <v>15</v>
      </c>
      <c r="C77" t="s">
        <v>16</v>
      </c>
      <c r="D77" t="s">
        <v>18</v>
      </c>
      <c r="E77">
        <v>70</v>
      </c>
      <c r="F77">
        <v>135000</v>
      </c>
      <c r="G77">
        <v>9450000</v>
      </c>
      <c r="H77">
        <v>210000</v>
      </c>
      <c r="I77">
        <v>14700000</v>
      </c>
      <c r="J77">
        <v>5250000</v>
      </c>
    </row>
    <row r="78" spans="1:10" x14ac:dyDescent="0.3">
      <c r="A78" s="2">
        <v>45732</v>
      </c>
      <c r="B78" t="s">
        <v>15</v>
      </c>
      <c r="C78" t="s">
        <v>16</v>
      </c>
      <c r="D78" t="s">
        <v>19</v>
      </c>
      <c r="E78">
        <v>60</v>
      </c>
      <c r="F78">
        <v>105000</v>
      </c>
      <c r="G78">
        <v>6300000</v>
      </c>
      <c r="H78">
        <v>210000</v>
      </c>
      <c r="I78">
        <v>12600000</v>
      </c>
      <c r="J78">
        <v>6300000</v>
      </c>
    </row>
    <row r="79" spans="1:10" x14ac:dyDescent="0.3">
      <c r="A79" s="2">
        <v>45733</v>
      </c>
      <c r="B79" t="s">
        <v>15</v>
      </c>
      <c r="C79" t="s">
        <v>16</v>
      </c>
      <c r="D79" t="s">
        <v>17</v>
      </c>
      <c r="E79">
        <v>70</v>
      </c>
      <c r="F79">
        <v>125000</v>
      </c>
      <c r="G79">
        <v>8750000</v>
      </c>
      <c r="H79">
        <v>225000</v>
      </c>
      <c r="I79">
        <v>15750000</v>
      </c>
      <c r="J79">
        <v>7000000</v>
      </c>
    </row>
    <row r="80" spans="1:10" x14ac:dyDescent="0.3">
      <c r="A80" s="2">
        <v>45734</v>
      </c>
      <c r="B80" t="s">
        <v>15</v>
      </c>
      <c r="C80" t="s">
        <v>16</v>
      </c>
      <c r="D80" t="s">
        <v>18</v>
      </c>
      <c r="E80">
        <v>60</v>
      </c>
      <c r="F80">
        <v>205000</v>
      </c>
      <c r="G80">
        <v>12300000</v>
      </c>
      <c r="H80">
        <v>210000</v>
      </c>
      <c r="I80">
        <v>12600000</v>
      </c>
      <c r="J80">
        <v>300000</v>
      </c>
    </row>
    <row r="81" spans="1:10" x14ac:dyDescent="0.3">
      <c r="A81" s="2">
        <v>45735</v>
      </c>
      <c r="B81" t="s">
        <v>15</v>
      </c>
      <c r="C81" t="s">
        <v>16</v>
      </c>
      <c r="D81" t="s">
        <v>19</v>
      </c>
      <c r="E81">
        <v>70</v>
      </c>
      <c r="F81">
        <v>105000</v>
      </c>
      <c r="G81">
        <v>7350000</v>
      </c>
      <c r="H81">
        <v>210000</v>
      </c>
      <c r="I81">
        <v>14700000</v>
      </c>
      <c r="J81">
        <v>7350000</v>
      </c>
    </row>
    <row r="82" spans="1:10" x14ac:dyDescent="0.3">
      <c r="A82" s="2">
        <v>45736</v>
      </c>
      <c r="B82" t="s">
        <v>15</v>
      </c>
      <c r="C82" t="s">
        <v>16</v>
      </c>
      <c r="D82" t="s">
        <v>17</v>
      </c>
      <c r="E82">
        <v>70</v>
      </c>
      <c r="F82">
        <v>145000</v>
      </c>
      <c r="G82">
        <v>10150000</v>
      </c>
      <c r="H82">
        <v>225000</v>
      </c>
      <c r="I82">
        <v>15750000</v>
      </c>
      <c r="J82">
        <v>5600000</v>
      </c>
    </row>
    <row r="83" spans="1:10" x14ac:dyDescent="0.3">
      <c r="A83" s="2">
        <v>45737</v>
      </c>
      <c r="B83" t="s">
        <v>20</v>
      </c>
      <c r="C83" t="s">
        <v>16</v>
      </c>
      <c r="D83" t="s">
        <v>18</v>
      </c>
      <c r="E83">
        <v>70</v>
      </c>
      <c r="F83">
        <v>135000</v>
      </c>
      <c r="G83">
        <v>9450000</v>
      </c>
      <c r="H83">
        <v>210000</v>
      </c>
      <c r="I83">
        <v>14700000</v>
      </c>
      <c r="J83">
        <v>5250000</v>
      </c>
    </row>
    <row r="84" spans="1:10" x14ac:dyDescent="0.3">
      <c r="A84" s="2">
        <v>45738</v>
      </c>
      <c r="B84" t="s">
        <v>21</v>
      </c>
      <c r="C84" t="s">
        <v>16</v>
      </c>
      <c r="D84" t="s">
        <v>19</v>
      </c>
      <c r="E84">
        <v>80</v>
      </c>
      <c r="F84">
        <v>195000</v>
      </c>
      <c r="G84">
        <v>15600000</v>
      </c>
      <c r="H84">
        <v>210000</v>
      </c>
      <c r="I84">
        <v>16800000</v>
      </c>
      <c r="J84">
        <v>1200000</v>
      </c>
    </row>
    <row r="85" spans="1:10" x14ac:dyDescent="0.3">
      <c r="A85" s="2">
        <v>45739</v>
      </c>
      <c r="B85" t="s">
        <v>21</v>
      </c>
      <c r="C85" t="s">
        <v>16</v>
      </c>
      <c r="D85" t="s">
        <v>17</v>
      </c>
      <c r="E85">
        <v>50</v>
      </c>
      <c r="F85">
        <v>125000</v>
      </c>
      <c r="G85">
        <v>6250000</v>
      </c>
      <c r="H85">
        <v>225000</v>
      </c>
      <c r="I85">
        <v>11250000</v>
      </c>
      <c r="J85">
        <v>5000000</v>
      </c>
    </row>
    <row r="86" spans="1:10" x14ac:dyDescent="0.3">
      <c r="A86" s="2">
        <v>45740</v>
      </c>
      <c r="B86" t="s">
        <v>15</v>
      </c>
      <c r="C86" t="s">
        <v>16</v>
      </c>
      <c r="D86" t="s">
        <v>18</v>
      </c>
      <c r="E86">
        <v>70</v>
      </c>
      <c r="F86">
        <v>155000</v>
      </c>
      <c r="G86">
        <v>10850000</v>
      </c>
      <c r="H86">
        <v>210000</v>
      </c>
      <c r="I86">
        <v>14700000</v>
      </c>
      <c r="J86">
        <v>3850000</v>
      </c>
    </row>
    <row r="87" spans="1:10" x14ac:dyDescent="0.3">
      <c r="A87" s="2">
        <v>45741</v>
      </c>
      <c r="B87" t="s">
        <v>15</v>
      </c>
      <c r="C87" t="s">
        <v>16</v>
      </c>
      <c r="D87" t="s">
        <v>19</v>
      </c>
      <c r="E87">
        <v>50</v>
      </c>
      <c r="F87">
        <v>105000</v>
      </c>
      <c r="G87">
        <v>5250000</v>
      </c>
      <c r="H87">
        <v>210000</v>
      </c>
      <c r="I87">
        <v>10500000</v>
      </c>
      <c r="J87">
        <v>5250000</v>
      </c>
    </row>
    <row r="88" spans="1:10" x14ac:dyDescent="0.3">
      <c r="A88" s="2">
        <v>45742</v>
      </c>
      <c r="B88" t="s">
        <v>15</v>
      </c>
      <c r="C88" t="s">
        <v>22</v>
      </c>
      <c r="D88" t="s">
        <v>17</v>
      </c>
      <c r="E88">
        <v>50</v>
      </c>
      <c r="F88">
        <v>195000</v>
      </c>
      <c r="G88">
        <v>9750000</v>
      </c>
      <c r="H88">
        <v>225000</v>
      </c>
      <c r="I88">
        <v>11250000</v>
      </c>
      <c r="J88">
        <v>1500000</v>
      </c>
    </row>
    <row r="89" spans="1:10" x14ac:dyDescent="0.3">
      <c r="A89" s="2">
        <v>45743</v>
      </c>
      <c r="B89" t="s">
        <v>15</v>
      </c>
      <c r="C89" t="s">
        <v>22</v>
      </c>
      <c r="D89" t="s">
        <v>18</v>
      </c>
      <c r="E89">
        <v>40</v>
      </c>
      <c r="F89">
        <v>125000</v>
      </c>
      <c r="G89">
        <v>5000000</v>
      </c>
      <c r="H89">
        <v>210000</v>
      </c>
      <c r="I89">
        <v>8400000</v>
      </c>
      <c r="J89">
        <v>3400000</v>
      </c>
    </row>
    <row r="90" spans="1:10" x14ac:dyDescent="0.3">
      <c r="A90" s="2">
        <v>45744</v>
      </c>
      <c r="B90" t="s">
        <v>15</v>
      </c>
      <c r="C90" t="s">
        <v>22</v>
      </c>
      <c r="D90" t="s">
        <v>19</v>
      </c>
      <c r="E90">
        <v>50</v>
      </c>
      <c r="F90">
        <v>205000</v>
      </c>
      <c r="G90">
        <v>10250000</v>
      </c>
      <c r="H90">
        <v>210000</v>
      </c>
      <c r="I90">
        <v>10500000</v>
      </c>
      <c r="J90">
        <v>250000</v>
      </c>
    </row>
    <row r="91" spans="1:10" x14ac:dyDescent="0.3">
      <c r="A91" s="2">
        <v>45745</v>
      </c>
      <c r="B91" t="s">
        <v>15</v>
      </c>
      <c r="C91" t="s">
        <v>22</v>
      </c>
      <c r="D91" t="s">
        <v>17</v>
      </c>
      <c r="E91">
        <v>60</v>
      </c>
      <c r="F91">
        <v>105000</v>
      </c>
      <c r="G91">
        <v>6300000</v>
      </c>
      <c r="H91">
        <v>225000</v>
      </c>
      <c r="I91">
        <v>13500000</v>
      </c>
      <c r="J91">
        <v>7200000</v>
      </c>
    </row>
    <row r="92" spans="1:10" x14ac:dyDescent="0.3">
      <c r="A92" s="2">
        <v>45746</v>
      </c>
      <c r="B92" t="s">
        <v>15</v>
      </c>
      <c r="C92" t="s">
        <v>23</v>
      </c>
      <c r="D92" t="s">
        <v>18</v>
      </c>
      <c r="E92">
        <v>70</v>
      </c>
      <c r="F92">
        <v>195000</v>
      </c>
      <c r="G92">
        <v>13650000</v>
      </c>
      <c r="H92">
        <v>210000</v>
      </c>
      <c r="I92">
        <v>14700000</v>
      </c>
      <c r="J92">
        <v>1050000</v>
      </c>
    </row>
    <row r="93" spans="1:10" x14ac:dyDescent="0.3">
      <c r="A93" s="2">
        <v>45747</v>
      </c>
      <c r="B93" t="s">
        <v>20</v>
      </c>
      <c r="C93" t="s">
        <v>23</v>
      </c>
      <c r="D93" t="s">
        <v>19</v>
      </c>
      <c r="E93">
        <v>40</v>
      </c>
      <c r="F93">
        <v>105000</v>
      </c>
      <c r="G93">
        <v>4200000</v>
      </c>
      <c r="H93">
        <v>210000</v>
      </c>
      <c r="I93">
        <v>8400000</v>
      </c>
      <c r="J93">
        <v>4200000</v>
      </c>
    </row>
    <row r="94" spans="1:10" x14ac:dyDescent="0.3">
      <c r="A94" s="2">
        <v>45748</v>
      </c>
      <c r="B94" t="s">
        <v>21</v>
      </c>
      <c r="C94" t="s">
        <v>23</v>
      </c>
      <c r="D94" t="s">
        <v>17</v>
      </c>
      <c r="E94">
        <v>80</v>
      </c>
      <c r="F94">
        <v>95000</v>
      </c>
      <c r="G94">
        <v>7600000</v>
      </c>
      <c r="H94">
        <v>225000</v>
      </c>
      <c r="I94">
        <v>18000000</v>
      </c>
      <c r="J94">
        <v>10400000</v>
      </c>
    </row>
    <row r="95" spans="1:10" x14ac:dyDescent="0.3">
      <c r="A95" s="2">
        <v>45749</v>
      </c>
      <c r="B95" t="s">
        <v>21</v>
      </c>
      <c r="C95" t="s">
        <v>23</v>
      </c>
      <c r="D95" t="s">
        <v>18</v>
      </c>
      <c r="E95">
        <v>80</v>
      </c>
      <c r="F95">
        <v>195000</v>
      </c>
      <c r="G95">
        <v>15600000</v>
      </c>
      <c r="H95">
        <v>210000</v>
      </c>
      <c r="I95">
        <v>16800000</v>
      </c>
      <c r="J95">
        <v>1200000</v>
      </c>
    </row>
    <row r="96" spans="1:10" x14ac:dyDescent="0.3">
      <c r="A96" s="2">
        <v>45750</v>
      </c>
      <c r="B96" t="s">
        <v>15</v>
      </c>
      <c r="C96" t="s">
        <v>16</v>
      </c>
      <c r="D96" t="s">
        <v>19</v>
      </c>
      <c r="E96">
        <v>60</v>
      </c>
      <c r="F96">
        <v>95000</v>
      </c>
      <c r="G96">
        <v>5700000</v>
      </c>
      <c r="H96">
        <v>210000</v>
      </c>
      <c r="I96">
        <v>12600000</v>
      </c>
      <c r="J96">
        <v>6900000</v>
      </c>
    </row>
    <row r="97" spans="1:10" x14ac:dyDescent="0.3">
      <c r="A97" s="2">
        <v>45751</v>
      </c>
      <c r="B97" t="s">
        <v>15</v>
      </c>
      <c r="C97" t="s">
        <v>16</v>
      </c>
      <c r="D97" t="s">
        <v>17</v>
      </c>
      <c r="E97">
        <v>40</v>
      </c>
      <c r="F97">
        <v>155000</v>
      </c>
      <c r="G97">
        <v>6200000</v>
      </c>
      <c r="H97">
        <v>225000</v>
      </c>
      <c r="I97">
        <v>9000000</v>
      </c>
      <c r="J97">
        <v>2800000</v>
      </c>
    </row>
    <row r="98" spans="1:10" x14ac:dyDescent="0.3">
      <c r="A98" s="2">
        <v>45752</v>
      </c>
      <c r="B98" t="s">
        <v>15</v>
      </c>
      <c r="C98" t="s">
        <v>16</v>
      </c>
      <c r="D98" t="s">
        <v>18</v>
      </c>
      <c r="E98">
        <v>80</v>
      </c>
      <c r="F98">
        <v>125000</v>
      </c>
      <c r="G98">
        <v>10000000</v>
      </c>
      <c r="H98">
        <v>210000</v>
      </c>
      <c r="I98">
        <v>16800000</v>
      </c>
      <c r="J98">
        <v>6800000</v>
      </c>
    </row>
    <row r="99" spans="1:10" x14ac:dyDescent="0.3">
      <c r="A99" s="2">
        <v>45753</v>
      </c>
      <c r="B99" t="s">
        <v>15</v>
      </c>
      <c r="C99" t="s">
        <v>16</v>
      </c>
      <c r="D99" t="s">
        <v>19</v>
      </c>
      <c r="E99">
        <v>50</v>
      </c>
      <c r="F99">
        <v>165000</v>
      </c>
      <c r="G99">
        <v>8250000</v>
      </c>
      <c r="H99">
        <v>210000</v>
      </c>
      <c r="I99">
        <v>10500000</v>
      </c>
      <c r="J99">
        <v>2250000</v>
      </c>
    </row>
    <row r="100" spans="1:10" x14ac:dyDescent="0.3">
      <c r="A100" s="2">
        <v>45754</v>
      </c>
      <c r="B100" t="s">
        <v>15</v>
      </c>
      <c r="C100" t="s">
        <v>16</v>
      </c>
      <c r="D100" t="s">
        <v>17</v>
      </c>
      <c r="E100">
        <v>90</v>
      </c>
      <c r="F100">
        <v>195000</v>
      </c>
      <c r="G100">
        <v>17550000</v>
      </c>
      <c r="H100">
        <v>225000</v>
      </c>
      <c r="I100">
        <v>20250000</v>
      </c>
      <c r="J100">
        <v>2700000</v>
      </c>
    </row>
    <row r="101" spans="1:10" x14ac:dyDescent="0.3">
      <c r="A101" s="2">
        <v>45755</v>
      </c>
      <c r="B101" t="s">
        <v>15</v>
      </c>
      <c r="C101" t="s">
        <v>16</v>
      </c>
      <c r="D101" t="s">
        <v>18</v>
      </c>
      <c r="E101">
        <v>90</v>
      </c>
      <c r="F101">
        <v>95000</v>
      </c>
      <c r="G101">
        <v>8550000</v>
      </c>
      <c r="H101">
        <v>210000</v>
      </c>
      <c r="I101">
        <v>18900000</v>
      </c>
      <c r="J101">
        <v>10350000</v>
      </c>
    </row>
    <row r="102" spans="1:10" x14ac:dyDescent="0.3">
      <c r="A102" s="2">
        <v>45756</v>
      </c>
      <c r="B102" t="s">
        <v>15</v>
      </c>
      <c r="C102" t="s">
        <v>16</v>
      </c>
      <c r="D102" t="s">
        <v>19</v>
      </c>
      <c r="E102">
        <v>60</v>
      </c>
      <c r="F102">
        <v>105000</v>
      </c>
      <c r="G102">
        <v>6300000</v>
      </c>
      <c r="H102">
        <v>210000</v>
      </c>
      <c r="I102">
        <v>12600000</v>
      </c>
      <c r="J102">
        <v>6300000</v>
      </c>
    </row>
    <row r="103" spans="1:10" x14ac:dyDescent="0.3">
      <c r="A103" s="2">
        <v>45757</v>
      </c>
      <c r="B103" t="s">
        <v>20</v>
      </c>
      <c r="C103" t="s">
        <v>16</v>
      </c>
      <c r="D103" t="s">
        <v>17</v>
      </c>
      <c r="E103">
        <v>80</v>
      </c>
      <c r="F103">
        <v>145000</v>
      </c>
      <c r="G103">
        <v>11600000</v>
      </c>
      <c r="H103">
        <v>225000</v>
      </c>
      <c r="I103">
        <v>18000000</v>
      </c>
      <c r="J103">
        <v>6400000</v>
      </c>
    </row>
    <row r="104" spans="1:10" x14ac:dyDescent="0.3">
      <c r="A104" s="2">
        <v>45758</v>
      </c>
      <c r="B104" t="s">
        <v>21</v>
      </c>
      <c r="C104" t="s">
        <v>16</v>
      </c>
      <c r="D104" t="s">
        <v>18</v>
      </c>
      <c r="E104">
        <v>80</v>
      </c>
      <c r="F104">
        <v>175000</v>
      </c>
      <c r="G104">
        <v>14000000</v>
      </c>
      <c r="H104">
        <v>210000</v>
      </c>
      <c r="I104">
        <v>16800000</v>
      </c>
      <c r="J104">
        <v>2800000</v>
      </c>
    </row>
    <row r="105" spans="1:10" x14ac:dyDescent="0.3">
      <c r="A105" s="2">
        <v>45759</v>
      </c>
      <c r="B105" t="s">
        <v>21</v>
      </c>
      <c r="C105" t="s">
        <v>16</v>
      </c>
      <c r="D105" t="s">
        <v>19</v>
      </c>
      <c r="E105">
        <v>70</v>
      </c>
      <c r="F105">
        <v>125000</v>
      </c>
      <c r="G105">
        <v>8750000</v>
      </c>
      <c r="H105">
        <v>210000</v>
      </c>
      <c r="I105">
        <v>14700000</v>
      </c>
      <c r="J105">
        <v>5950000</v>
      </c>
    </row>
    <row r="106" spans="1:10" x14ac:dyDescent="0.3">
      <c r="A106" s="2">
        <v>45760</v>
      </c>
      <c r="B106" t="s">
        <v>15</v>
      </c>
      <c r="C106" t="s">
        <v>16</v>
      </c>
      <c r="D106" t="s">
        <v>17</v>
      </c>
      <c r="E106">
        <v>60</v>
      </c>
      <c r="F106">
        <v>165000</v>
      </c>
      <c r="G106">
        <v>9900000</v>
      </c>
      <c r="H106">
        <v>225000</v>
      </c>
      <c r="I106">
        <v>13500000</v>
      </c>
      <c r="J106">
        <v>3600000</v>
      </c>
    </row>
    <row r="107" spans="1:10" x14ac:dyDescent="0.3">
      <c r="A107" s="2">
        <v>45761</v>
      </c>
      <c r="B107" t="s">
        <v>15</v>
      </c>
      <c r="C107" t="s">
        <v>16</v>
      </c>
      <c r="D107" t="s">
        <v>18</v>
      </c>
      <c r="E107">
        <v>40</v>
      </c>
      <c r="F107">
        <v>185000</v>
      </c>
      <c r="G107">
        <v>7400000</v>
      </c>
      <c r="H107">
        <v>210000</v>
      </c>
      <c r="I107">
        <v>8400000</v>
      </c>
      <c r="J107">
        <v>1000000</v>
      </c>
    </row>
    <row r="108" spans="1:10" x14ac:dyDescent="0.3">
      <c r="A108" s="2">
        <v>45762</v>
      </c>
      <c r="B108" t="s">
        <v>15</v>
      </c>
      <c r="C108" t="s">
        <v>22</v>
      </c>
      <c r="D108" t="s">
        <v>19</v>
      </c>
      <c r="E108">
        <v>40</v>
      </c>
      <c r="F108">
        <v>175000</v>
      </c>
      <c r="G108">
        <v>7000000</v>
      </c>
      <c r="H108">
        <v>210000</v>
      </c>
      <c r="I108">
        <v>8400000</v>
      </c>
      <c r="J108">
        <v>1400000</v>
      </c>
    </row>
    <row r="109" spans="1:10" x14ac:dyDescent="0.3">
      <c r="A109" s="2">
        <v>45763</v>
      </c>
      <c r="B109" t="s">
        <v>15</v>
      </c>
      <c r="C109" t="s">
        <v>22</v>
      </c>
      <c r="D109" t="s">
        <v>17</v>
      </c>
      <c r="E109">
        <v>80</v>
      </c>
      <c r="F109">
        <v>165000</v>
      </c>
      <c r="G109">
        <v>13200000</v>
      </c>
      <c r="H109">
        <v>225000</v>
      </c>
      <c r="I109">
        <v>18000000</v>
      </c>
      <c r="J109">
        <v>4800000</v>
      </c>
    </row>
    <row r="110" spans="1:10" x14ac:dyDescent="0.3">
      <c r="A110" s="2">
        <v>45764</v>
      </c>
      <c r="B110" t="s">
        <v>15</v>
      </c>
      <c r="C110" t="s">
        <v>22</v>
      </c>
      <c r="D110" t="s">
        <v>18</v>
      </c>
      <c r="E110">
        <v>80</v>
      </c>
      <c r="F110">
        <v>145000</v>
      </c>
      <c r="G110">
        <v>11600000</v>
      </c>
      <c r="H110">
        <v>210000</v>
      </c>
      <c r="I110">
        <v>16800000</v>
      </c>
      <c r="J110">
        <v>5200000</v>
      </c>
    </row>
    <row r="111" spans="1:10" x14ac:dyDescent="0.3">
      <c r="A111" s="2">
        <v>45765</v>
      </c>
      <c r="B111" t="s">
        <v>15</v>
      </c>
      <c r="C111" t="s">
        <v>22</v>
      </c>
      <c r="D111" t="s">
        <v>19</v>
      </c>
      <c r="E111">
        <v>70</v>
      </c>
      <c r="F111">
        <v>135000</v>
      </c>
      <c r="G111">
        <v>9450000</v>
      </c>
      <c r="H111">
        <v>210000</v>
      </c>
      <c r="I111">
        <v>14700000</v>
      </c>
      <c r="J111">
        <v>5250000</v>
      </c>
    </row>
    <row r="112" spans="1:10" x14ac:dyDescent="0.3">
      <c r="A112" s="2">
        <v>45766</v>
      </c>
      <c r="B112" t="s">
        <v>15</v>
      </c>
      <c r="C112" t="s">
        <v>23</v>
      </c>
      <c r="D112" t="s">
        <v>17</v>
      </c>
      <c r="E112">
        <v>60</v>
      </c>
      <c r="F112">
        <v>145000</v>
      </c>
      <c r="G112">
        <v>8700000</v>
      </c>
      <c r="H112">
        <v>225000</v>
      </c>
      <c r="I112">
        <v>13500000</v>
      </c>
      <c r="J112">
        <v>4800000</v>
      </c>
    </row>
    <row r="113" spans="1:10" x14ac:dyDescent="0.3">
      <c r="A113" s="2">
        <v>45767</v>
      </c>
      <c r="B113" t="s">
        <v>20</v>
      </c>
      <c r="C113" t="s">
        <v>23</v>
      </c>
      <c r="D113" t="s">
        <v>18</v>
      </c>
      <c r="E113">
        <v>80</v>
      </c>
      <c r="F113">
        <v>145000</v>
      </c>
      <c r="G113">
        <v>11600000</v>
      </c>
      <c r="H113">
        <v>210000</v>
      </c>
      <c r="I113">
        <v>16800000</v>
      </c>
      <c r="J113">
        <v>5200000</v>
      </c>
    </row>
    <row r="114" spans="1:10" x14ac:dyDescent="0.3">
      <c r="A114" s="2">
        <v>45768</v>
      </c>
      <c r="B114" t="s">
        <v>21</v>
      </c>
      <c r="C114" t="s">
        <v>23</v>
      </c>
      <c r="D114" t="s">
        <v>19</v>
      </c>
      <c r="E114">
        <v>50</v>
      </c>
      <c r="F114">
        <v>205000</v>
      </c>
      <c r="G114">
        <v>10250000</v>
      </c>
      <c r="H114">
        <v>210000</v>
      </c>
      <c r="I114">
        <v>10500000</v>
      </c>
      <c r="J114">
        <v>250000</v>
      </c>
    </row>
    <row r="115" spans="1:10" x14ac:dyDescent="0.3">
      <c r="A115" s="2">
        <v>45769</v>
      </c>
      <c r="B115" t="s">
        <v>21</v>
      </c>
      <c r="C115" t="s">
        <v>23</v>
      </c>
      <c r="D115" t="s">
        <v>17</v>
      </c>
      <c r="E115">
        <v>50</v>
      </c>
      <c r="F115">
        <v>115000</v>
      </c>
      <c r="G115">
        <v>5750000</v>
      </c>
      <c r="H115">
        <v>225000</v>
      </c>
      <c r="I115">
        <v>11250000</v>
      </c>
      <c r="J115">
        <v>5500000</v>
      </c>
    </row>
    <row r="116" spans="1:10" x14ac:dyDescent="0.3">
      <c r="A116" s="2">
        <v>45770</v>
      </c>
      <c r="B116" t="s">
        <v>15</v>
      </c>
      <c r="C116" t="s">
        <v>16</v>
      </c>
      <c r="D116" t="s">
        <v>18</v>
      </c>
      <c r="E116">
        <v>50</v>
      </c>
      <c r="F116">
        <v>215000</v>
      </c>
      <c r="G116">
        <v>10750000</v>
      </c>
      <c r="H116">
        <v>210000</v>
      </c>
      <c r="I116">
        <v>10500000</v>
      </c>
      <c r="J116">
        <v>-250000</v>
      </c>
    </row>
    <row r="117" spans="1:10" x14ac:dyDescent="0.3">
      <c r="A117" s="2">
        <v>45771</v>
      </c>
      <c r="B117" t="s">
        <v>15</v>
      </c>
      <c r="C117" t="s">
        <v>16</v>
      </c>
      <c r="D117" t="s">
        <v>19</v>
      </c>
      <c r="E117">
        <v>90</v>
      </c>
      <c r="F117">
        <v>115000</v>
      </c>
      <c r="G117">
        <v>10350000</v>
      </c>
      <c r="H117">
        <v>210000</v>
      </c>
      <c r="I117">
        <v>18900000</v>
      </c>
      <c r="J117">
        <v>8550000</v>
      </c>
    </row>
    <row r="118" spans="1:10" x14ac:dyDescent="0.3">
      <c r="A118" s="2">
        <v>45772</v>
      </c>
      <c r="B118" t="s">
        <v>15</v>
      </c>
      <c r="C118" t="s">
        <v>16</v>
      </c>
      <c r="D118" t="s">
        <v>17</v>
      </c>
      <c r="E118">
        <v>80</v>
      </c>
      <c r="F118">
        <v>165000</v>
      </c>
      <c r="G118">
        <v>13200000</v>
      </c>
      <c r="H118">
        <v>225000</v>
      </c>
      <c r="I118">
        <v>18000000</v>
      </c>
      <c r="J118">
        <v>4800000</v>
      </c>
    </row>
    <row r="119" spans="1:10" x14ac:dyDescent="0.3">
      <c r="A119" s="2">
        <v>45773</v>
      </c>
      <c r="B119" t="s">
        <v>15</v>
      </c>
      <c r="C119" t="s">
        <v>16</v>
      </c>
      <c r="D119" t="s">
        <v>18</v>
      </c>
      <c r="E119">
        <v>90</v>
      </c>
      <c r="F119">
        <v>145000</v>
      </c>
      <c r="G119">
        <v>13050000</v>
      </c>
      <c r="H119">
        <v>210000</v>
      </c>
      <c r="I119">
        <v>18900000</v>
      </c>
      <c r="J119">
        <v>5850000</v>
      </c>
    </row>
    <row r="120" spans="1:10" x14ac:dyDescent="0.3">
      <c r="A120" s="2">
        <v>45774</v>
      </c>
      <c r="B120" t="s">
        <v>15</v>
      </c>
      <c r="C120" t="s">
        <v>16</v>
      </c>
      <c r="D120" t="s">
        <v>19</v>
      </c>
      <c r="E120">
        <v>40</v>
      </c>
      <c r="F120">
        <v>125000</v>
      </c>
      <c r="G120">
        <v>5000000</v>
      </c>
      <c r="H120">
        <v>210000</v>
      </c>
      <c r="I120">
        <v>8400000</v>
      </c>
      <c r="J120">
        <v>3400000</v>
      </c>
    </row>
    <row r="121" spans="1:10" x14ac:dyDescent="0.3">
      <c r="A121" s="2">
        <v>45775</v>
      </c>
      <c r="B121" t="s">
        <v>15</v>
      </c>
      <c r="C121" t="s">
        <v>16</v>
      </c>
      <c r="D121" t="s">
        <v>17</v>
      </c>
      <c r="E121">
        <v>90</v>
      </c>
      <c r="F121">
        <v>155000</v>
      </c>
      <c r="G121">
        <v>13950000</v>
      </c>
      <c r="H121">
        <v>225000</v>
      </c>
      <c r="I121">
        <v>20250000</v>
      </c>
      <c r="J121">
        <v>6300000</v>
      </c>
    </row>
    <row r="122" spans="1:10" x14ac:dyDescent="0.3">
      <c r="A122" s="2">
        <v>45776</v>
      </c>
      <c r="B122" t="s">
        <v>15</v>
      </c>
      <c r="C122" t="s">
        <v>16</v>
      </c>
      <c r="D122" t="s">
        <v>18</v>
      </c>
      <c r="E122">
        <v>60</v>
      </c>
      <c r="F122">
        <v>175000</v>
      </c>
      <c r="G122">
        <v>10500000</v>
      </c>
      <c r="H122">
        <v>210000</v>
      </c>
      <c r="I122">
        <v>12600000</v>
      </c>
      <c r="J122">
        <v>2100000</v>
      </c>
    </row>
    <row r="123" spans="1:10" x14ac:dyDescent="0.3">
      <c r="A123" s="2">
        <v>45777</v>
      </c>
      <c r="B123" t="s">
        <v>20</v>
      </c>
      <c r="C123" t="s">
        <v>16</v>
      </c>
      <c r="D123" t="s">
        <v>19</v>
      </c>
      <c r="E123">
        <v>70</v>
      </c>
      <c r="F123">
        <v>205000</v>
      </c>
      <c r="G123">
        <v>14350000</v>
      </c>
      <c r="H123">
        <v>210000</v>
      </c>
      <c r="I123">
        <v>14700000</v>
      </c>
      <c r="J123">
        <v>350000</v>
      </c>
    </row>
    <row r="124" spans="1:10" x14ac:dyDescent="0.3">
      <c r="A124" s="2">
        <v>45778</v>
      </c>
      <c r="B124" t="s">
        <v>21</v>
      </c>
      <c r="C124" t="s">
        <v>16</v>
      </c>
      <c r="D124" t="s">
        <v>17</v>
      </c>
      <c r="E124">
        <v>60</v>
      </c>
      <c r="F124">
        <v>165000</v>
      </c>
      <c r="G124">
        <v>9900000</v>
      </c>
      <c r="H124">
        <v>225000</v>
      </c>
      <c r="I124">
        <v>13500000</v>
      </c>
      <c r="J124">
        <v>3600000</v>
      </c>
    </row>
    <row r="125" spans="1:10" x14ac:dyDescent="0.3">
      <c r="A125" s="2">
        <v>45779</v>
      </c>
      <c r="B125" t="s">
        <v>21</v>
      </c>
      <c r="C125" t="s">
        <v>16</v>
      </c>
      <c r="D125" t="s">
        <v>18</v>
      </c>
      <c r="E125">
        <v>70</v>
      </c>
      <c r="F125">
        <v>145000</v>
      </c>
      <c r="G125">
        <v>10150000</v>
      </c>
      <c r="H125">
        <v>210000</v>
      </c>
      <c r="I125">
        <v>14700000</v>
      </c>
      <c r="J125">
        <v>4550000</v>
      </c>
    </row>
    <row r="126" spans="1:10" x14ac:dyDescent="0.3">
      <c r="A126" s="2">
        <v>45780</v>
      </c>
      <c r="B126" t="s">
        <v>15</v>
      </c>
      <c r="C126" t="s">
        <v>16</v>
      </c>
      <c r="D126" t="s">
        <v>19</v>
      </c>
      <c r="E126">
        <v>40</v>
      </c>
      <c r="F126">
        <v>175000</v>
      </c>
      <c r="G126">
        <v>7000000</v>
      </c>
      <c r="H126">
        <v>210000</v>
      </c>
      <c r="I126">
        <v>8400000</v>
      </c>
      <c r="J126">
        <v>1400000</v>
      </c>
    </row>
    <row r="127" spans="1:10" x14ac:dyDescent="0.3">
      <c r="A127" s="2">
        <v>45781</v>
      </c>
      <c r="B127" t="s">
        <v>15</v>
      </c>
      <c r="C127" t="s">
        <v>16</v>
      </c>
      <c r="D127" t="s">
        <v>17</v>
      </c>
      <c r="E127">
        <v>90</v>
      </c>
      <c r="F127">
        <v>145000</v>
      </c>
      <c r="G127">
        <v>13050000</v>
      </c>
      <c r="H127">
        <v>225000</v>
      </c>
      <c r="I127">
        <v>20250000</v>
      </c>
      <c r="J127">
        <v>7200000</v>
      </c>
    </row>
    <row r="128" spans="1:10" x14ac:dyDescent="0.3">
      <c r="A128" s="2">
        <v>45782</v>
      </c>
      <c r="B128" t="s">
        <v>15</v>
      </c>
      <c r="C128" t="s">
        <v>22</v>
      </c>
      <c r="D128" t="s">
        <v>18</v>
      </c>
      <c r="E128">
        <v>40</v>
      </c>
      <c r="F128">
        <v>165000</v>
      </c>
      <c r="G128">
        <v>6600000</v>
      </c>
      <c r="H128">
        <v>210000</v>
      </c>
      <c r="I128">
        <v>8400000</v>
      </c>
      <c r="J128">
        <v>1800000</v>
      </c>
    </row>
    <row r="129" spans="1:10" x14ac:dyDescent="0.3">
      <c r="A129" s="2">
        <v>45783</v>
      </c>
      <c r="B129" t="s">
        <v>15</v>
      </c>
      <c r="C129" t="s">
        <v>22</v>
      </c>
      <c r="D129" t="s">
        <v>19</v>
      </c>
      <c r="E129">
        <v>70</v>
      </c>
      <c r="F129">
        <v>155000</v>
      </c>
      <c r="G129">
        <v>10850000</v>
      </c>
      <c r="H129">
        <v>210000</v>
      </c>
      <c r="I129">
        <v>14700000</v>
      </c>
      <c r="J129">
        <v>3850000</v>
      </c>
    </row>
    <row r="130" spans="1:10" x14ac:dyDescent="0.3">
      <c r="A130" s="2">
        <v>45784</v>
      </c>
      <c r="B130" t="s">
        <v>15</v>
      </c>
      <c r="C130" t="s">
        <v>22</v>
      </c>
      <c r="D130" t="s">
        <v>17</v>
      </c>
      <c r="E130">
        <v>80</v>
      </c>
      <c r="F130">
        <v>185000</v>
      </c>
      <c r="G130">
        <v>14800000</v>
      </c>
      <c r="H130">
        <v>225000</v>
      </c>
      <c r="I130">
        <v>18000000</v>
      </c>
      <c r="J130">
        <v>3200000</v>
      </c>
    </row>
    <row r="131" spans="1:10" x14ac:dyDescent="0.3">
      <c r="A131" s="2">
        <v>45785</v>
      </c>
      <c r="B131" t="s">
        <v>15</v>
      </c>
      <c r="C131" t="s">
        <v>22</v>
      </c>
      <c r="D131" t="s">
        <v>18</v>
      </c>
      <c r="E131">
        <v>70</v>
      </c>
      <c r="F131">
        <v>145000</v>
      </c>
      <c r="G131">
        <v>10150000</v>
      </c>
      <c r="H131">
        <v>210000</v>
      </c>
      <c r="I131">
        <v>14700000</v>
      </c>
      <c r="J131">
        <v>4550000</v>
      </c>
    </row>
    <row r="132" spans="1:10" x14ac:dyDescent="0.3">
      <c r="A132" s="2">
        <v>45786</v>
      </c>
      <c r="B132" t="s">
        <v>15</v>
      </c>
      <c r="C132" t="s">
        <v>23</v>
      </c>
      <c r="D132" t="s">
        <v>19</v>
      </c>
      <c r="E132">
        <v>80</v>
      </c>
      <c r="F132">
        <v>115000</v>
      </c>
      <c r="G132">
        <v>9200000</v>
      </c>
      <c r="H132">
        <v>210000</v>
      </c>
      <c r="I132">
        <v>16800000</v>
      </c>
      <c r="J132">
        <v>7600000</v>
      </c>
    </row>
    <row r="133" spans="1:10" x14ac:dyDescent="0.3">
      <c r="A133" s="2">
        <v>45787</v>
      </c>
      <c r="B133" t="s">
        <v>20</v>
      </c>
      <c r="C133" t="s">
        <v>23</v>
      </c>
      <c r="D133" t="s">
        <v>17</v>
      </c>
      <c r="E133">
        <v>70</v>
      </c>
      <c r="F133">
        <v>195000</v>
      </c>
      <c r="G133">
        <v>13650000</v>
      </c>
      <c r="H133">
        <v>225000</v>
      </c>
      <c r="I133">
        <v>15750000</v>
      </c>
      <c r="J133">
        <v>2100000</v>
      </c>
    </row>
    <row r="134" spans="1:10" x14ac:dyDescent="0.3">
      <c r="A134" s="2">
        <v>45788</v>
      </c>
      <c r="B134" t="s">
        <v>21</v>
      </c>
      <c r="C134" t="s">
        <v>23</v>
      </c>
      <c r="D134" t="s">
        <v>18</v>
      </c>
      <c r="E134">
        <v>50</v>
      </c>
      <c r="F134">
        <v>175000</v>
      </c>
      <c r="G134">
        <v>8750000</v>
      </c>
      <c r="H134">
        <v>210000</v>
      </c>
      <c r="I134">
        <v>10500000</v>
      </c>
      <c r="J134">
        <v>1750000</v>
      </c>
    </row>
    <row r="135" spans="1:10" x14ac:dyDescent="0.3">
      <c r="A135" s="2">
        <v>45789</v>
      </c>
      <c r="B135" t="s">
        <v>21</v>
      </c>
      <c r="C135" t="s">
        <v>23</v>
      </c>
      <c r="D135" t="s">
        <v>19</v>
      </c>
      <c r="E135">
        <v>50</v>
      </c>
      <c r="F135">
        <v>195000</v>
      </c>
      <c r="G135">
        <v>9750000</v>
      </c>
      <c r="H135">
        <v>210000</v>
      </c>
      <c r="I135">
        <v>10500000</v>
      </c>
      <c r="J135">
        <v>750000</v>
      </c>
    </row>
    <row r="136" spans="1:10" x14ac:dyDescent="0.3">
      <c r="A136" s="2">
        <v>45790</v>
      </c>
      <c r="B136" t="s">
        <v>15</v>
      </c>
      <c r="C136" t="s">
        <v>16</v>
      </c>
      <c r="D136" t="s">
        <v>17</v>
      </c>
      <c r="E136">
        <v>70</v>
      </c>
      <c r="F136">
        <v>215000</v>
      </c>
      <c r="G136">
        <v>15050000</v>
      </c>
      <c r="H136">
        <v>225000</v>
      </c>
      <c r="I136">
        <v>15750000</v>
      </c>
      <c r="J136">
        <v>700000</v>
      </c>
    </row>
    <row r="137" spans="1:10" x14ac:dyDescent="0.3">
      <c r="A137" s="2">
        <v>45791</v>
      </c>
      <c r="B137" t="s">
        <v>15</v>
      </c>
      <c r="C137" t="s">
        <v>16</v>
      </c>
      <c r="D137" t="s">
        <v>18</v>
      </c>
      <c r="E137">
        <v>80</v>
      </c>
      <c r="F137">
        <v>215000</v>
      </c>
      <c r="G137">
        <v>17200000</v>
      </c>
      <c r="H137">
        <v>210000</v>
      </c>
      <c r="I137">
        <v>16800000</v>
      </c>
      <c r="J137">
        <v>-400000</v>
      </c>
    </row>
    <row r="138" spans="1:10" x14ac:dyDescent="0.3">
      <c r="A138" s="2">
        <v>45792</v>
      </c>
      <c r="B138" t="s">
        <v>15</v>
      </c>
      <c r="C138" t="s">
        <v>16</v>
      </c>
      <c r="D138" t="s">
        <v>19</v>
      </c>
      <c r="E138">
        <v>90</v>
      </c>
      <c r="F138">
        <v>145000</v>
      </c>
      <c r="G138">
        <v>13050000</v>
      </c>
      <c r="H138">
        <v>210000</v>
      </c>
      <c r="I138">
        <v>18900000</v>
      </c>
      <c r="J138">
        <v>5850000</v>
      </c>
    </row>
    <row r="139" spans="1:10" x14ac:dyDescent="0.3">
      <c r="A139" s="2">
        <v>45793</v>
      </c>
      <c r="B139" t="s">
        <v>15</v>
      </c>
      <c r="C139" t="s">
        <v>16</v>
      </c>
      <c r="D139" t="s">
        <v>17</v>
      </c>
      <c r="E139">
        <v>50</v>
      </c>
      <c r="F139">
        <v>175000</v>
      </c>
      <c r="G139">
        <v>8750000</v>
      </c>
      <c r="H139">
        <v>225000</v>
      </c>
      <c r="I139">
        <v>11250000</v>
      </c>
      <c r="J139">
        <v>2500000</v>
      </c>
    </row>
    <row r="140" spans="1:10" x14ac:dyDescent="0.3">
      <c r="A140" s="2">
        <v>45794</v>
      </c>
      <c r="B140" t="s">
        <v>15</v>
      </c>
      <c r="C140" t="s">
        <v>16</v>
      </c>
      <c r="D140" t="s">
        <v>18</v>
      </c>
      <c r="E140">
        <v>80</v>
      </c>
      <c r="F140">
        <v>95000</v>
      </c>
      <c r="G140">
        <v>7600000</v>
      </c>
      <c r="H140">
        <v>210000</v>
      </c>
      <c r="I140">
        <v>16800000</v>
      </c>
      <c r="J140">
        <v>9200000</v>
      </c>
    </row>
    <row r="141" spans="1:10" x14ac:dyDescent="0.3">
      <c r="A141" s="2">
        <v>45795</v>
      </c>
      <c r="B141" t="s">
        <v>15</v>
      </c>
      <c r="C141" t="s">
        <v>16</v>
      </c>
      <c r="D141" t="s">
        <v>19</v>
      </c>
      <c r="E141">
        <v>70</v>
      </c>
      <c r="F141">
        <v>115000</v>
      </c>
      <c r="G141">
        <v>8050000</v>
      </c>
      <c r="H141">
        <v>210000</v>
      </c>
      <c r="I141">
        <v>14700000</v>
      </c>
      <c r="J141">
        <v>6650000</v>
      </c>
    </row>
    <row r="142" spans="1:10" x14ac:dyDescent="0.3">
      <c r="A142" s="2">
        <v>45796</v>
      </c>
      <c r="B142" t="s">
        <v>15</v>
      </c>
      <c r="C142" t="s">
        <v>16</v>
      </c>
      <c r="D142" t="s">
        <v>17</v>
      </c>
      <c r="E142">
        <v>50</v>
      </c>
      <c r="F142">
        <v>95000</v>
      </c>
      <c r="G142">
        <v>4750000</v>
      </c>
      <c r="H142">
        <v>225000</v>
      </c>
      <c r="I142">
        <v>11250000</v>
      </c>
      <c r="J142">
        <v>6500000</v>
      </c>
    </row>
    <row r="143" spans="1:10" x14ac:dyDescent="0.3">
      <c r="A143" s="2">
        <v>45797</v>
      </c>
      <c r="B143" t="s">
        <v>20</v>
      </c>
      <c r="C143" t="s">
        <v>16</v>
      </c>
      <c r="D143" t="s">
        <v>18</v>
      </c>
      <c r="E143">
        <v>50</v>
      </c>
      <c r="F143">
        <v>115000</v>
      </c>
      <c r="G143">
        <v>5750000</v>
      </c>
      <c r="H143">
        <v>210000</v>
      </c>
      <c r="I143">
        <v>10500000</v>
      </c>
      <c r="J143">
        <v>4750000</v>
      </c>
    </row>
    <row r="144" spans="1:10" x14ac:dyDescent="0.3">
      <c r="A144" s="2">
        <v>45798</v>
      </c>
      <c r="B144" t="s">
        <v>21</v>
      </c>
      <c r="C144" t="s">
        <v>16</v>
      </c>
      <c r="D144" t="s">
        <v>19</v>
      </c>
      <c r="E144">
        <v>60</v>
      </c>
      <c r="F144">
        <v>195000</v>
      </c>
      <c r="G144">
        <v>11700000</v>
      </c>
      <c r="H144">
        <v>210000</v>
      </c>
      <c r="I144">
        <v>12600000</v>
      </c>
      <c r="J144">
        <v>900000</v>
      </c>
    </row>
    <row r="145" spans="1:10" x14ac:dyDescent="0.3">
      <c r="A145" s="2">
        <v>45799</v>
      </c>
      <c r="B145" t="s">
        <v>21</v>
      </c>
      <c r="C145" t="s">
        <v>16</v>
      </c>
      <c r="D145" t="s">
        <v>17</v>
      </c>
      <c r="E145">
        <v>60</v>
      </c>
      <c r="F145">
        <v>165000</v>
      </c>
      <c r="G145">
        <v>9900000</v>
      </c>
      <c r="H145">
        <v>225000</v>
      </c>
      <c r="I145">
        <v>13500000</v>
      </c>
      <c r="J145">
        <v>3600000</v>
      </c>
    </row>
    <row r="146" spans="1:10" x14ac:dyDescent="0.3">
      <c r="A146" s="2">
        <v>45800</v>
      </c>
      <c r="B146" t="s">
        <v>15</v>
      </c>
      <c r="C146" t="s">
        <v>16</v>
      </c>
      <c r="D146" t="s">
        <v>18</v>
      </c>
      <c r="E146">
        <v>70</v>
      </c>
      <c r="F146">
        <v>125000</v>
      </c>
      <c r="G146">
        <v>8750000</v>
      </c>
      <c r="H146">
        <v>210000</v>
      </c>
      <c r="I146">
        <v>14700000</v>
      </c>
      <c r="J146">
        <v>5950000</v>
      </c>
    </row>
    <row r="147" spans="1:10" x14ac:dyDescent="0.3">
      <c r="A147" s="2">
        <v>45801</v>
      </c>
      <c r="B147" t="s">
        <v>15</v>
      </c>
      <c r="C147" t="s">
        <v>16</v>
      </c>
      <c r="D147" t="s">
        <v>19</v>
      </c>
      <c r="E147">
        <v>40</v>
      </c>
      <c r="F147">
        <v>205000</v>
      </c>
      <c r="G147">
        <v>8200000</v>
      </c>
      <c r="H147">
        <v>210000</v>
      </c>
      <c r="I147">
        <v>8400000</v>
      </c>
      <c r="J147">
        <v>200000</v>
      </c>
    </row>
    <row r="148" spans="1:10" x14ac:dyDescent="0.3">
      <c r="A148" s="2">
        <v>45802</v>
      </c>
      <c r="B148" t="s">
        <v>15</v>
      </c>
      <c r="C148" t="s">
        <v>22</v>
      </c>
      <c r="D148" t="s">
        <v>17</v>
      </c>
      <c r="E148">
        <v>80</v>
      </c>
      <c r="F148">
        <v>205000</v>
      </c>
      <c r="G148">
        <v>16400000</v>
      </c>
      <c r="H148">
        <v>225000</v>
      </c>
      <c r="I148">
        <v>18000000</v>
      </c>
      <c r="J148">
        <v>1600000</v>
      </c>
    </row>
    <row r="149" spans="1:10" x14ac:dyDescent="0.3">
      <c r="A149" s="2">
        <v>45803</v>
      </c>
      <c r="B149" t="s">
        <v>15</v>
      </c>
      <c r="C149" t="s">
        <v>22</v>
      </c>
      <c r="D149" t="s">
        <v>18</v>
      </c>
      <c r="E149">
        <v>80</v>
      </c>
      <c r="F149">
        <v>135000</v>
      </c>
      <c r="G149">
        <v>10800000</v>
      </c>
      <c r="H149">
        <v>210000</v>
      </c>
      <c r="I149">
        <v>16800000</v>
      </c>
      <c r="J149">
        <v>6000000</v>
      </c>
    </row>
    <row r="150" spans="1:10" x14ac:dyDescent="0.3">
      <c r="A150" s="2">
        <v>45804</v>
      </c>
      <c r="B150" t="s">
        <v>15</v>
      </c>
      <c r="C150" t="s">
        <v>22</v>
      </c>
      <c r="D150" t="s">
        <v>19</v>
      </c>
      <c r="E150">
        <v>70</v>
      </c>
      <c r="F150">
        <v>205000</v>
      </c>
      <c r="G150">
        <v>14350000</v>
      </c>
      <c r="H150">
        <v>210000</v>
      </c>
      <c r="I150">
        <v>14700000</v>
      </c>
      <c r="J150">
        <v>350000</v>
      </c>
    </row>
    <row r="151" spans="1:10" x14ac:dyDescent="0.3">
      <c r="A151" s="2">
        <v>45805</v>
      </c>
      <c r="B151" t="s">
        <v>15</v>
      </c>
      <c r="C151" t="s">
        <v>22</v>
      </c>
      <c r="D151" t="s">
        <v>17</v>
      </c>
      <c r="E151">
        <v>70</v>
      </c>
      <c r="F151">
        <v>105000</v>
      </c>
      <c r="G151">
        <v>7350000</v>
      </c>
      <c r="H151">
        <v>225000</v>
      </c>
      <c r="I151">
        <v>15750000</v>
      </c>
      <c r="J151">
        <v>8400000</v>
      </c>
    </row>
    <row r="152" spans="1:10" x14ac:dyDescent="0.3">
      <c r="A152" s="2">
        <v>45806</v>
      </c>
      <c r="B152" t="s">
        <v>15</v>
      </c>
      <c r="C152" t="s">
        <v>23</v>
      </c>
      <c r="D152" t="s">
        <v>18</v>
      </c>
      <c r="E152">
        <v>60</v>
      </c>
      <c r="F152">
        <v>135000</v>
      </c>
      <c r="G152">
        <v>8100000</v>
      </c>
      <c r="H152">
        <v>210000</v>
      </c>
      <c r="I152">
        <v>12600000</v>
      </c>
      <c r="J152">
        <v>4500000</v>
      </c>
    </row>
    <row r="153" spans="1:10" x14ac:dyDescent="0.3">
      <c r="A153" s="2">
        <v>45807</v>
      </c>
      <c r="B153" t="s">
        <v>20</v>
      </c>
      <c r="C153" t="s">
        <v>23</v>
      </c>
      <c r="D153" t="s">
        <v>19</v>
      </c>
      <c r="E153">
        <v>60</v>
      </c>
      <c r="F153">
        <v>105000</v>
      </c>
      <c r="G153">
        <v>6300000</v>
      </c>
      <c r="H153">
        <v>210000</v>
      </c>
      <c r="I153">
        <v>12600000</v>
      </c>
      <c r="J153">
        <v>6300000</v>
      </c>
    </row>
    <row r="154" spans="1:10" x14ac:dyDescent="0.3">
      <c r="A154" s="2">
        <v>45808</v>
      </c>
      <c r="B154" t="s">
        <v>21</v>
      </c>
      <c r="C154" t="s">
        <v>23</v>
      </c>
      <c r="D154" t="s">
        <v>17</v>
      </c>
      <c r="E154">
        <v>90</v>
      </c>
      <c r="F154">
        <v>175000</v>
      </c>
      <c r="G154">
        <v>15750000</v>
      </c>
      <c r="H154">
        <v>225000</v>
      </c>
      <c r="I154">
        <v>20250000</v>
      </c>
      <c r="J154">
        <v>4500000</v>
      </c>
    </row>
    <row r="155" spans="1:10" x14ac:dyDescent="0.3">
      <c r="A155" s="2">
        <v>45809</v>
      </c>
      <c r="B155" t="s">
        <v>21</v>
      </c>
      <c r="C155" t="s">
        <v>23</v>
      </c>
      <c r="D155" t="s">
        <v>18</v>
      </c>
      <c r="E155">
        <v>50</v>
      </c>
      <c r="F155">
        <v>175000</v>
      </c>
      <c r="G155">
        <v>8750000</v>
      </c>
      <c r="H155">
        <v>210000</v>
      </c>
      <c r="I155">
        <v>10500000</v>
      </c>
      <c r="J155">
        <v>1750000</v>
      </c>
    </row>
    <row r="156" spans="1:10" x14ac:dyDescent="0.3">
      <c r="A156" s="2">
        <v>45810</v>
      </c>
      <c r="B156" t="s">
        <v>15</v>
      </c>
      <c r="C156" t="s">
        <v>16</v>
      </c>
      <c r="D156" t="s">
        <v>19</v>
      </c>
      <c r="E156">
        <v>60</v>
      </c>
      <c r="F156">
        <v>115000</v>
      </c>
      <c r="G156">
        <v>6900000</v>
      </c>
      <c r="H156">
        <v>210000</v>
      </c>
      <c r="I156">
        <v>12600000</v>
      </c>
      <c r="J156">
        <v>5700000</v>
      </c>
    </row>
    <row r="157" spans="1:10" x14ac:dyDescent="0.3">
      <c r="A157" s="2">
        <v>45811</v>
      </c>
      <c r="B157" t="s">
        <v>15</v>
      </c>
      <c r="C157" t="s">
        <v>16</v>
      </c>
      <c r="D157" t="s">
        <v>17</v>
      </c>
      <c r="E157">
        <v>50</v>
      </c>
      <c r="F157">
        <v>175000</v>
      </c>
      <c r="G157">
        <v>8750000</v>
      </c>
      <c r="H157">
        <v>225000</v>
      </c>
      <c r="I157">
        <v>11250000</v>
      </c>
      <c r="J157">
        <v>2500000</v>
      </c>
    </row>
    <row r="158" spans="1:10" x14ac:dyDescent="0.3">
      <c r="A158" s="2">
        <v>45812</v>
      </c>
      <c r="B158" t="s">
        <v>15</v>
      </c>
      <c r="C158" t="s">
        <v>16</v>
      </c>
      <c r="D158" t="s">
        <v>18</v>
      </c>
      <c r="E158">
        <v>90</v>
      </c>
      <c r="F158">
        <v>135000</v>
      </c>
      <c r="G158">
        <v>12150000</v>
      </c>
      <c r="H158">
        <v>210000</v>
      </c>
      <c r="I158">
        <v>18900000</v>
      </c>
      <c r="J158">
        <v>6750000</v>
      </c>
    </row>
    <row r="159" spans="1:10" x14ac:dyDescent="0.3">
      <c r="A159" s="2">
        <v>45813</v>
      </c>
      <c r="B159" t="s">
        <v>15</v>
      </c>
      <c r="C159" t="s">
        <v>16</v>
      </c>
      <c r="D159" t="s">
        <v>19</v>
      </c>
      <c r="E159">
        <v>50</v>
      </c>
      <c r="F159">
        <v>165000</v>
      </c>
      <c r="G159">
        <v>8250000</v>
      </c>
      <c r="H159">
        <v>210000</v>
      </c>
      <c r="I159">
        <v>10500000</v>
      </c>
      <c r="J159">
        <v>2250000</v>
      </c>
    </row>
    <row r="160" spans="1:10" x14ac:dyDescent="0.3">
      <c r="A160" s="2">
        <v>45814</v>
      </c>
      <c r="B160" t="s">
        <v>15</v>
      </c>
      <c r="C160" t="s">
        <v>16</v>
      </c>
      <c r="D160" t="s">
        <v>17</v>
      </c>
      <c r="E160">
        <v>50</v>
      </c>
      <c r="F160">
        <v>145000</v>
      </c>
      <c r="G160">
        <v>7250000</v>
      </c>
      <c r="H160">
        <v>225000</v>
      </c>
      <c r="I160">
        <v>11250000</v>
      </c>
      <c r="J160">
        <v>4000000</v>
      </c>
    </row>
    <row r="161" spans="1:10" x14ac:dyDescent="0.3">
      <c r="A161" s="2">
        <v>45815</v>
      </c>
      <c r="B161" t="s">
        <v>15</v>
      </c>
      <c r="C161" t="s">
        <v>16</v>
      </c>
      <c r="D161" t="s">
        <v>18</v>
      </c>
      <c r="E161">
        <v>40</v>
      </c>
      <c r="F161">
        <v>145000</v>
      </c>
      <c r="G161">
        <v>5800000</v>
      </c>
      <c r="H161">
        <v>210000</v>
      </c>
      <c r="I161">
        <v>8400000</v>
      </c>
      <c r="J161">
        <v>2600000</v>
      </c>
    </row>
    <row r="162" spans="1:10" x14ac:dyDescent="0.3">
      <c r="A162" s="2">
        <v>45816</v>
      </c>
      <c r="B162" t="s">
        <v>15</v>
      </c>
      <c r="C162" t="s">
        <v>16</v>
      </c>
      <c r="D162" t="s">
        <v>19</v>
      </c>
      <c r="E162">
        <v>70</v>
      </c>
      <c r="F162">
        <v>105000</v>
      </c>
      <c r="G162">
        <v>7350000</v>
      </c>
      <c r="H162">
        <v>210000</v>
      </c>
      <c r="I162">
        <v>14700000</v>
      </c>
      <c r="J162">
        <v>7350000</v>
      </c>
    </row>
    <row r="163" spans="1:10" x14ac:dyDescent="0.3">
      <c r="A163" s="2">
        <v>45817</v>
      </c>
      <c r="B163" t="s">
        <v>20</v>
      </c>
      <c r="C163" t="s">
        <v>16</v>
      </c>
      <c r="D163" t="s">
        <v>17</v>
      </c>
      <c r="E163">
        <v>50</v>
      </c>
      <c r="F163">
        <v>135000</v>
      </c>
      <c r="G163">
        <v>6750000</v>
      </c>
      <c r="H163">
        <v>225000</v>
      </c>
      <c r="I163">
        <v>11250000</v>
      </c>
      <c r="J163">
        <v>4500000</v>
      </c>
    </row>
    <row r="164" spans="1:10" x14ac:dyDescent="0.3">
      <c r="A164" s="2">
        <v>45818</v>
      </c>
      <c r="B164" t="s">
        <v>21</v>
      </c>
      <c r="C164" t="s">
        <v>16</v>
      </c>
      <c r="D164" t="s">
        <v>18</v>
      </c>
      <c r="E164">
        <v>60</v>
      </c>
      <c r="F164">
        <v>145000</v>
      </c>
      <c r="G164">
        <v>8700000</v>
      </c>
      <c r="H164">
        <v>210000</v>
      </c>
      <c r="I164">
        <v>12600000</v>
      </c>
      <c r="J164">
        <v>3900000</v>
      </c>
    </row>
    <row r="165" spans="1:10" x14ac:dyDescent="0.3">
      <c r="A165" s="2">
        <v>45819</v>
      </c>
      <c r="B165" t="s">
        <v>21</v>
      </c>
      <c r="C165" t="s">
        <v>16</v>
      </c>
      <c r="D165" t="s">
        <v>19</v>
      </c>
      <c r="E165">
        <v>60</v>
      </c>
      <c r="F165">
        <v>105000</v>
      </c>
      <c r="G165">
        <v>6300000</v>
      </c>
      <c r="H165">
        <v>210000</v>
      </c>
      <c r="I165">
        <v>12600000</v>
      </c>
      <c r="J165">
        <v>6300000</v>
      </c>
    </row>
    <row r="166" spans="1:10" x14ac:dyDescent="0.3">
      <c r="A166" s="2">
        <v>45820</v>
      </c>
      <c r="B166" t="s">
        <v>15</v>
      </c>
      <c r="C166" t="s">
        <v>16</v>
      </c>
      <c r="D166" t="s">
        <v>17</v>
      </c>
      <c r="E166">
        <v>90</v>
      </c>
      <c r="F166">
        <v>155000</v>
      </c>
      <c r="G166">
        <v>13950000</v>
      </c>
      <c r="H166">
        <v>225000</v>
      </c>
      <c r="I166">
        <v>20250000</v>
      </c>
      <c r="J166">
        <v>6300000</v>
      </c>
    </row>
    <row r="167" spans="1:10" x14ac:dyDescent="0.3">
      <c r="A167" s="2">
        <v>45821</v>
      </c>
      <c r="B167" t="s">
        <v>15</v>
      </c>
      <c r="C167" t="s">
        <v>16</v>
      </c>
      <c r="D167" t="s">
        <v>18</v>
      </c>
      <c r="E167">
        <v>50</v>
      </c>
      <c r="F167">
        <v>145000</v>
      </c>
      <c r="G167">
        <v>7250000</v>
      </c>
      <c r="H167">
        <v>210000</v>
      </c>
      <c r="I167">
        <v>10500000</v>
      </c>
      <c r="J167">
        <v>3250000</v>
      </c>
    </row>
    <row r="168" spans="1:10" x14ac:dyDescent="0.3">
      <c r="A168" s="2">
        <v>45822</v>
      </c>
      <c r="B168" t="s">
        <v>15</v>
      </c>
      <c r="C168" t="s">
        <v>22</v>
      </c>
      <c r="D168" t="s">
        <v>19</v>
      </c>
      <c r="E168">
        <v>90</v>
      </c>
      <c r="F168">
        <v>115000</v>
      </c>
      <c r="G168">
        <v>10350000</v>
      </c>
      <c r="H168">
        <v>210000</v>
      </c>
      <c r="I168">
        <v>18900000</v>
      </c>
      <c r="J168">
        <v>8550000</v>
      </c>
    </row>
    <row r="169" spans="1:10" x14ac:dyDescent="0.3">
      <c r="A169" s="2">
        <v>45823</v>
      </c>
      <c r="B169" t="s">
        <v>15</v>
      </c>
      <c r="C169" t="s">
        <v>22</v>
      </c>
      <c r="D169" t="s">
        <v>17</v>
      </c>
      <c r="E169">
        <v>90</v>
      </c>
      <c r="F169">
        <v>105000</v>
      </c>
      <c r="G169">
        <v>9450000</v>
      </c>
      <c r="H169">
        <v>225000</v>
      </c>
      <c r="I169">
        <v>20250000</v>
      </c>
      <c r="J169">
        <v>10800000</v>
      </c>
    </row>
    <row r="170" spans="1:10" x14ac:dyDescent="0.3">
      <c r="A170" s="2">
        <v>45824</v>
      </c>
      <c r="B170" t="s">
        <v>15</v>
      </c>
      <c r="C170" t="s">
        <v>22</v>
      </c>
      <c r="D170" t="s">
        <v>18</v>
      </c>
      <c r="E170">
        <v>40</v>
      </c>
      <c r="F170">
        <v>165000</v>
      </c>
      <c r="G170">
        <v>6600000</v>
      </c>
      <c r="H170">
        <v>210000</v>
      </c>
      <c r="I170">
        <v>8400000</v>
      </c>
      <c r="J170">
        <v>1800000</v>
      </c>
    </row>
    <row r="171" spans="1:10" x14ac:dyDescent="0.3">
      <c r="A171" s="2">
        <v>45825</v>
      </c>
      <c r="B171" t="s">
        <v>15</v>
      </c>
      <c r="C171" t="s">
        <v>22</v>
      </c>
      <c r="D171" t="s">
        <v>19</v>
      </c>
      <c r="E171">
        <v>40</v>
      </c>
      <c r="F171">
        <v>95000</v>
      </c>
      <c r="G171">
        <v>3800000</v>
      </c>
      <c r="H171">
        <v>210000</v>
      </c>
      <c r="I171">
        <v>8400000</v>
      </c>
      <c r="J171">
        <v>4600000</v>
      </c>
    </row>
    <row r="172" spans="1:10" x14ac:dyDescent="0.3">
      <c r="A172" s="2">
        <v>45826</v>
      </c>
      <c r="B172" t="s">
        <v>15</v>
      </c>
      <c r="C172" t="s">
        <v>23</v>
      </c>
      <c r="D172" t="s">
        <v>17</v>
      </c>
      <c r="E172">
        <v>70</v>
      </c>
      <c r="F172">
        <v>215000</v>
      </c>
      <c r="G172">
        <v>15050000</v>
      </c>
      <c r="H172">
        <v>225000</v>
      </c>
      <c r="I172">
        <v>15750000</v>
      </c>
      <c r="J172">
        <v>700000</v>
      </c>
    </row>
    <row r="173" spans="1:10" x14ac:dyDescent="0.3">
      <c r="A173" s="2">
        <v>45827</v>
      </c>
      <c r="B173" t="s">
        <v>20</v>
      </c>
      <c r="C173" t="s">
        <v>23</v>
      </c>
      <c r="D173" t="s">
        <v>18</v>
      </c>
      <c r="E173">
        <v>90</v>
      </c>
      <c r="F173">
        <v>175000</v>
      </c>
      <c r="G173">
        <v>15750000</v>
      </c>
      <c r="H173">
        <v>210000</v>
      </c>
      <c r="I173">
        <v>18900000</v>
      </c>
      <c r="J173">
        <v>3150000</v>
      </c>
    </row>
    <row r="174" spans="1:10" x14ac:dyDescent="0.3">
      <c r="A174" s="2">
        <v>45828</v>
      </c>
      <c r="B174" t="s">
        <v>21</v>
      </c>
      <c r="C174" t="s">
        <v>23</v>
      </c>
      <c r="D174" t="s">
        <v>19</v>
      </c>
      <c r="E174">
        <v>60</v>
      </c>
      <c r="F174">
        <v>135000</v>
      </c>
      <c r="G174">
        <v>8100000</v>
      </c>
      <c r="H174">
        <v>210000</v>
      </c>
      <c r="I174">
        <v>12600000</v>
      </c>
      <c r="J174">
        <v>4500000</v>
      </c>
    </row>
    <row r="175" spans="1:10" x14ac:dyDescent="0.3">
      <c r="A175" s="2">
        <v>45829</v>
      </c>
      <c r="B175" t="s">
        <v>21</v>
      </c>
      <c r="C175" t="s">
        <v>23</v>
      </c>
      <c r="D175" t="s">
        <v>17</v>
      </c>
      <c r="E175">
        <v>50</v>
      </c>
      <c r="F175">
        <v>165000</v>
      </c>
      <c r="G175">
        <v>8250000</v>
      </c>
      <c r="H175">
        <v>225000</v>
      </c>
      <c r="I175">
        <v>11250000</v>
      </c>
      <c r="J175">
        <v>3000000</v>
      </c>
    </row>
    <row r="176" spans="1:10" x14ac:dyDescent="0.3">
      <c r="A176" s="2">
        <v>45830</v>
      </c>
      <c r="B176" t="s">
        <v>15</v>
      </c>
      <c r="C176" t="s">
        <v>16</v>
      </c>
      <c r="D176" t="s">
        <v>18</v>
      </c>
      <c r="E176">
        <v>50</v>
      </c>
      <c r="F176">
        <v>95000</v>
      </c>
      <c r="G176">
        <v>4750000</v>
      </c>
      <c r="H176">
        <v>210000</v>
      </c>
      <c r="I176">
        <v>10500000</v>
      </c>
      <c r="J176">
        <v>5750000</v>
      </c>
    </row>
    <row r="177" spans="1:10" x14ac:dyDescent="0.3">
      <c r="A177" s="2">
        <v>45831</v>
      </c>
      <c r="B177" t="s">
        <v>15</v>
      </c>
      <c r="C177" t="s">
        <v>16</v>
      </c>
      <c r="D177" t="s">
        <v>19</v>
      </c>
      <c r="E177">
        <v>80</v>
      </c>
      <c r="F177">
        <v>85000</v>
      </c>
      <c r="G177">
        <v>6800000</v>
      </c>
      <c r="H177">
        <v>210000</v>
      </c>
      <c r="I177">
        <v>16800000</v>
      </c>
      <c r="J177">
        <v>10000000</v>
      </c>
    </row>
    <row r="178" spans="1:10" x14ac:dyDescent="0.3">
      <c r="A178" s="2">
        <v>45832</v>
      </c>
      <c r="B178" t="s">
        <v>15</v>
      </c>
      <c r="C178" t="s">
        <v>16</v>
      </c>
      <c r="D178" t="s">
        <v>17</v>
      </c>
      <c r="E178">
        <v>80</v>
      </c>
      <c r="F178">
        <v>115000</v>
      </c>
      <c r="G178">
        <v>9200000</v>
      </c>
      <c r="H178">
        <v>225000</v>
      </c>
      <c r="I178">
        <v>18000000</v>
      </c>
      <c r="J178">
        <v>8800000</v>
      </c>
    </row>
    <row r="179" spans="1:10" x14ac:dyDescent="0.3">
      <c r="A179" s="2">
        <v>45833</v>
      </c>
      <c r="B179" t="s">
        <v>15</v>
      </c>
      <c r="C179" t="s">
        <v>16</v>
      </c>
      <c r="D179" t="s">
        <v>18</v>
      </c>
      <c r="E179">
        <v>70</v>
      </c>
      <c r="F179">
        <v>135000</v>
      </c>
      <c r="G179">
        <v>9450000</v>
      </c>
      <c r="H179">
        <v>210000</v>
      </c>
      <c r="I179">
        <v>14700000</v>
      </c>
      <c r="J179">
        <v>5250000</v>
      </c>
    </row>
    <row r="180" spans="1:10" x14ac:dyDescent="0.3">
      <c r="A180" s="2">
        <v>45834</v>
      </c>
      <c r="B180" t="s">
        <v>15</v>
      </c>
      <c r="C180" t="s">
        <v>16</v>
      </c>
      <c r="D180" t="s">
        <v>19</v>
      </c>
      <c r="E180">
        <v>60</v>
      </c>
      <c r="F180">
        <v>205000</v>
      </c>
      <c r="G180">
        <v>12300000</v>
      </c>
      <c r="H180">
        <v>210000</v>
      </c>
      <c r="I180">
        <v>12600000</v>
      </c>
      <c r="J180">
        <v>300000</v>
      </c>
    </row>
    <row r="181" spans="1:10" x14ac:dyDescent="0.3">
      <c r="A181" s="2">
        <v>45835</v>
      </c>
      <c r="B181" t="s">
        <v>15</v>
      </c>
      <c r="C181" t="s">
        <v>16</v>
      </c>
      <c r="D181" t="s">
        <v>17</v>
      </c>
      <c r="E181">
        <v>80</v>
      </c>
      <c r="F181">
        <v>165000</v>
      </c>
      <c r="G181">
        <v>13200000</v>
      </c>
      <c r="H181">
        <v>225000</v>
      </c>
      <c r="I181">
        <v>18000000</v>
      </c>
      <c r="J181">
        <v>4800000</v>
      </c>
    </row>
    <row r="182" spans="1:10" x14ac:dyDescent="0.3">
      <c r="A182" s="2">
        <v>45836</v>
      </c>
      <c r="B182" t="s">
        <v>15</v>
      </c>
      <c r="C182" t="s">
        <v>16</v>
      </c>
      <c r="D182" t="s">
        <v>18</v>
      </c>
      <c r="E182">
        <v>90</v>
      </c>
      <c r="F182">
        <v>95000</v>
      </c>
      <c r="G182">
        <v>8550000</v>
      </c>
      <c r="H182">
        <v>210000</v>
      </c>
      <c r="I182">
        <v>18900000</v>
      </c>
      <c r="J182">
        <v>10350000</v>
      </c>
    </row>
    <row r="183" spans="1:10" x14ac:dyDescent="0.3">
      <c r="A183" s="2">
        <v>45837</v>
      </c>
      <c r="B183" t="s">
        <v>20</v>
      </c>
      <c r="C183" t="s">
        <v>16</v>
      </c>
      <c r="D183" t="s">
        <v>19</v>
      </c>
      <c r="E183">
        <v>70</v>
      </c>
      <c r="F183">
        <v>155000</v>
      </c>
      <c r="G183">
        <v>10850000</v>
      </c>
      <c r="H183">
        <v>210000</v>
      </c>
      <c r="I183">
        <v>14700000</v>
      </c>
      <c r="J183">
        <v>3850000</v>
      </c>
    </row>
    <row r="184" spans="1:10" x14ac:dyDescent="0.3">
      <c r="A184" s="2">
        <v>45838</v>
      </c>
      <c r="B184" t="s">
        <v>21</v>
      </c>
      <c r="C184" t="s">
        <v>16</v>
      </c>
      <c r="D184" t="s">
        <v>17</v>
      </c>
      <c r="E184">
        <v>60</v>
      </c>
      <c r="F184">
        <v>135000</v>
      </c>
      <c r="G184">
        <v>8100000</v>
      </c>
      <c r="H184">
        <v>225000</v>
      </c>
      <c r="I184">
        <v>13500000</v>
      </c>
      <c r="J184">
        <v>5400000</v>
      </c>
    </row>
    <row r="185" spans="1:10" x14ac:dyDescent="0.3">
      <c r="A185" s="2">
        <v>45839</v>
      </c>
      <c r="B185" t="s">
        <v>21</v>
      </c>
      <c r="C185" t="s">
        <v>16</v>
      </c>
      <c r="D185" t="s">
        <v>18</v>
      </c>
      <c r="E185">
        <v>70</v>
      </c>
      <c r="F185">
        <v>115000</v>
      </c>
      <c r="G185">
        <v>8050000</v>
      </c>
      <c r="H185">
        <v>210000</v>
      </c>
      <c r="I185">
        <v>14700000</v>
      </c>
      <c r="J185">
        <v>6650000</v>
      </c>
    </row>
    <row r="186" spans="1:10" x14ac:dyDescent="0.3">
      <c r="A186" s="2">
        <v>45840</v>
      </c>
      <c r="B186" t="s">
        <v>15</v>
      </c>
      <c r="C186" t="s">
        <v>16</v>
      </c>
      <c r="D186" t="s">
        <v>19</v>
      </c>
      <c r="E186">
        <v>90</v>
      </c>
      <c r="F186">
        <v>165000</v>
      </c>
      <c r="G186">
        <v>14850000</v>
      </c>
      <c r="H186">
        <v>210000</v>
      </c>
      <c r="I186">
        <v>18900000</v>
      </c>
      <c r="J186">
        <v>4050000</v>
      </c>
    </row>
    <row r="187" spans="1:10" x14ac:dyDescent="0.3">
      <c r="A187" s="2">
        <v>45841</v>
      </c>
      <c r="B187" t="s">
        <v>15</v>
      </c>
      <c r="C187" t="s">
        <v>16</v>
      </c>
      <c r="D187" t="s">
        <v>17</v>
      </c>
      <c r="E187">
        <v>60</v>
      </c>
      <c r="F187">
        <v>105000</v>
      </c>
      <c r="G187">
        <v>6300000</v>
      </c>
      <c r="H187">
        <v>225000</v>
      </c>
      <c r="I187">
        <v>13500000</v>
      </c>
      <c r="J187">
        <v>7200000</v>
      </c>
    </row>
    <row r="188" spans="1:10" x14ac:dyDescent="0.3">
      <c r="A188" s="2">
        <v>45842</v>
      </c>
      <c r="B188" t="s">
        <v>15</v>
      </c>
      <c r="C188" t="s">
        <v>22</v>
      </c>
      <c r="D188" t="s">
        <v>18</v>
      </c>
      <c r="E188">
        <v>80</v>
      </c>
      <c r="F188">
        <v>165000</v>
      </c>
      <c r="G188">
        <v>13200000</v>
      </c>
      <c r="H188">
        <v>210000</v>
      </c>
      <c r="I188">
        <v>16800000</v>
      </c>
      <c r="J188">
        <v>3600000</v>
      </c>
    </row>
    <row r="189" spans="1:10" x14ac:dyDescent="0.3">
      <c r="A189" s="2">
        <v>45843</v>
      </c>
      <c r="B189" t="s">
        <v>15</v>
      </c>
      <c r="C189" t="s">
        <v>22</v>
      </c>
      <c r="D189" t="s">
        <v>19</v>
      </c>
      <c r="E189">
        <v>80</v>
      </c>
      <c r="F189">
        <v>195000</v>
      </c>
      <c r="G189">
        <v>15600000</v>
      </c>
      <c r="H189">
        <v>210000</v>
      </c>
      <c r="I189">
        <v>16800000</v>
      </c>
      <c r="J189">
        <v>1200000</v>
      </c>
    </row>
    <row r="190" spans="1:10" x14ac:dyDescent="0.3">
      <c r="A190" s="2">
        <v>45844</v>
      </c>
      <c r="B190" t="s">
        <v>15</v>
      </c>
      <c r="C190" t="s">
        <v>22</v>
      </c>
      <c r="D190" t="s">
        <v>17</v>
      </c>
      <c r="E190">
        <v>70</v>
      </c>
      <c r="F190">
        <v>105000</v>
      </c>
      <c r="G190">
        <v>7350000</v>
      </c>
      <c r="H190">
        <v>225000</v>
      </c>
      <c r="I190">
        <v>15750000</v>
      </c>
      <c r="J190">
        <v>8400000</v>
      </c>
    </row>
    <row r="191" spans="1:10" x14ac:dyDescent="0.3">
      <c r="A191" s="2">
        <v>45845</v>
      </c>
      <c r="B191" t="s">
        <v>15</v>
      </c>
      <c r="C191" t="s">
        <v>22</v>
      </c>
      <c r="D191" t="s">
        <v>18</v>
      </c>
      <c r="E191">
        <v>60</v>
      </c>
      <c r="F191">
        <v>165000</v>
      </c>
      <c r="G191">
        <v>9900000</v>
      </c>
      <c r="H191">
        <v>210000</v>
      </c>
      <c r="I191">
        <v>12600000</v>
      </c>
      <c r="J191">
        <v>2700000</v>
      </c>
    </row>
    <row r="192" spans="1:10" x14ac:dyDescent="0.3">
      <c r="A192" s="2">
        <v>45846</v>
      </c>
      <c r="B192" t="s">
        <v>15</v>
      </c>
      <c r="C192" t="s">
        <v>23</v>
      </c>
      <c r="D192" t="s">
        <v>19</v>
      </c>
      <c r="E192">
        <v>90</v>
      </c>
      <c r="F192">
        <v>195000</v>
      </c>
      <c r="G192">
        <v>17550000</v>
      </c>
      <c r="H192">
        <v>210000</v>
      </c>
      <c r="I192">
        <v>18900000</v>
      </c>
      <c r="J192">
        <v>1350000</v>
      </c>
    </row>
    <row r="193" spans="1:10" x14ac:dyDescent="0.3">
      <c r="A193" s="2">
        <v>45847</v>
      </c>
      <c r="B193" t="s">
        <v>20</v>
      </c>
      <c r="C193" t="s">
        <v>23</v>
      </c>
      <c r="D193" t="s">
        <v>17</v>
      </c>
      <c r="E193">
        <v>60</v>
      </c>
      <c r="F193">
        <v>165000</v>
      </c>
      <c r="G193">
        <v>9900000</v>
      </c>
      <c r="H193">
        <v>225000</v>
      </c>
      <c r="I193">
        <v>13500000</v>
      </c>
      <c r="J193">
        <v>3600000</v>
      </c>
    </row>
    <row r="194" spans="1:10" x14ac:dyDescent="0.3">
      <c r="A194" s="2">
        <v>45848</v>
      </c>
      <c r="B194" t="s">
        <v>21</v>
      </c>
      <c r="C194" t="s">
        <v>23</v>
      </c>
      <c r="D194" t="s">
        <v>18</v>
      </c>
      <c r="E194">
        <v>40</v>
      </c>
      <c r="F194">
        <v>185000</v>
      </c>
      <c r="G194">
        <v>7400000</v>
      </c>
      <c r="H194">
        <v>210000</v>
      </c>
      <c r="I194">
        <v>8400000</v>
      </c>
      <c r="J194">
        <v>1000000</v>
      </c>
    </row>
    <row r="195" spans="1:10" x14ac:dyDescent="0.3">
      <c r="A195" s="2">
        <v>45849</v>
      </c>
      <c r="B195" t="s">
        <v>21</v>
      </c>
      <c r="C195" t="s">
        <v>23</v>
      </c>
      <c r="D195" t="s">
        <v>19</v>
      </c>
      <c r="E195">
        <v>80</v>
      </c>
      <c r="F195">
        <v>165000</v>
      </c>
      <c r="G195">
        <v>13200000</v>
      </c>
      <c r="H195">
        <v>210000</v>
      </c>
      <c r="I195">
        <v>16800000</v>
      </c>
      <c r="J195">
        <v>3600000</v>
      </c>
    </row>
    <row r="196" spans="1:10" x14ac:dyDescent="0.3">
      <c r="A196" s="2">
        <v>45850</v>
      </c>
      <c r="B196" t="s">
        <v>15</v>
      </c>
      <c r="C196" t="s">
        <v>16</v>
      </c>
      <c r="D196" t="s">
        <v>17</v>
      </c>
      <c r="E196">
        <v>50</v>
      </c>
      <c r="F196">
        <v>185000</v>
      </c>
      <c r="G196">
        <v>9250000</v>
      </c>
      <c r="H196">
        <v>225000</v>
      </c>
      <c r="I196">
        <v>11250000</v>
      </c>
      <c r="J196">
        <v>2000000</v>
      </c>
    </row>
    <row r="197" spans="1:10" x14ac:dyDescent="0.3">
      <c r="A197" s="2">
        <v>45851</v>
      </c>
      <c r="B197" t="s">
        <v>15</v>
      </c>
      <c r="C197" t="s">
        <v>16</v>
      </c>
      <c r="D197" t="s">
        <v>18</v>
      </c>
      <c r="E197">
        <v>80</v>
      </c>
      <c r="F197">
        <v>205000</v>
      </c>
      <c r="G197">
        <v>16400000</v>
      </c>
      <c r="H197">
        <v>210000</v>
      </c>
      <c r="I197">
        <v>16800000</v>
      </c>
      <c r="J197">
        <v>400000</v>
      </c>
    </row>
    <row r="198" spans="1:10" x14ac:dyDescent="0.3">
      <c r="A198" s="2">
        <v>45852</v>
      </c>
      <c r="B198" t="s">
        <v>15</v>
      </c>
      <c r="C198" t="s">
        <v>16</v>
      </c>
      <c r="D198" t="s">
        <v>19</v>
      </c>
      <c r="E198">
        <v>80</v>
      </c>
      <c r="F198">
        <v>185000</v>
      </c>
      <c r="G198">
        <v>14800000</v>
      </c>
      <c r="H198">
        <v>210000</v>
      </c>
      <c r="I198">
        <v>16800000</v>
      </c>
      <c r="J198">
        <v>2000000</v>
      </c>
    </row>
    <row r="199" spans="1:10" x14ac:dyDescent="0.3">
      <c r="A199" s="2">
        <v>45853</v>
      </c>
      <c r="B199" t="s">
        <v>15</v>
      </c>
      <c r="C199" t="s">
        <v>16</v>
      </c>
      <c r="D199" t="s">
        <v>17</v>
      </c>
      <c r="E199">
        <v>60</v>
      </c>
      <c r="F199">
        <v>105000</v>
      </c>
      <c r="G199">
        <v>6300000</v>
      </c>
      <c r="H199">
        <v>225000</v>
      </c>
      <c r="I199">
        <v>13500000</v>
      </c>
      <c r="J199">
        <v>7200000</v>
      </c>
    </row>
    <row r="200" spans="1:10" x14ac:dyDescent="0.3">
      <c r="A200" s="2">
        <v>45854</v>
      </c>
      <c r="B200" t="s">
        <v>15</v>
      </c>
      <c r="C200" t="s">
        <v>16</v>
      </c>
      <c r="D200" t="s">
        <v>18</v>
      </c>
      <c r="E200">
        <v>40</v>
      </c>
      <c r="F200">
        <v>165000</v>
      </c>
      <c r="G200">
        <v>6600000</v>
      </c>
      <c r="H200">
        <v>210000</v>
      </c>
      <c r="I200">
        <v>8400000</v>
      </c>
      <c r="J200">
        <v>1800000</v>
      </c>
    </row>
    <row r="201" spans="1:10" x14ac:dyDescent="0.3">
      <c r="A201" s="2">
        <v>45855</v>
      </c>
      <c r="B201" t="s">
        <v>15</v>
      </c>
      <c r="C201" t="s">
        <v>16</v>
      </c>
      <c r="D201" t="s">
        <v>19</v>
      </c>
      <c r="E201">
        <v>50</v>
      </c>
      <c r="F201">
        <v>115000</v>
      </c>
      <c r="G201">
        <v>5750000</v>
      </c>
      <c r="H201">
        <v>210000</v>
      </c>
      <c r="I201">
        <v>10500000</v>
      </c>
      <c r="J201">
        <v>4750000</v>
      </c>
    </row>
    <row r="202" spans="1:10" x14ac:dyDescent="0.3">
      <c r="A202" s="2">
        <v>45856</v>
      </c>
      <c r="B202" t="s">
        <v>15</v>
      </c>
      <c r="C202" t="s">
        <v>16</v>
      </c>
      <c r="D202" t="s">
        <v>17</v>
      </c>
      <c r="E202">
        <v>60</v>
      </c>
      <c r="F202">
        <v>165000</v>
      </c>
      <c r="G202">
        <v>9900000</v>
      </c>
      <c r="H202">
        <v>225000</v>
      </c>
      <c r="I202">
        <v>13500000</v>
      </c>
      <c r="J202">
        <v>3600000</v>
      </c>
    </row>
    <row r="203" spans="1:10" x14ac:dyDescent="0.3">
      <c r="A203" s="2">
        <v>45857</v>
      </c>
      <c r="B203" t="s">
        <v>20</v>
      </c>
      <c r="C203" t="s">
        <v>16</v>
      </c>
      <c r="D203" t="s">
        <v>18</v>
      </c>
      <c r="E203">
        <v>80</v>
      </c>
      <c r="F203">
        <v>195000</v>
      </c>
      <c r="G203">
        <v>15600000</v>
      </c>
      <c r="H203">
        <v>210000</v>
      </c>
      <c r="I203">
        <v>16800000</v>
      </c>
      <c r="J203">
        <v>1200000</v>
      </c>
    </row>
    <row r="204" spans="1:10" x14ac:dyDescent="0.3">
      <c r="A204" s="2">
        <v>45858</v>
      </c>
      <c r="B204" t="s">
        <v>21</v>
      </c>
      <c r="C204" t="s">
        <v>16</v>
      </c>
      <c r="D204" t="s">
        <v>19</v>
      </c>
      <c r="E204">
        <v>90</v>
      </c>
      <c r="F204">
        <v>125000</v>
      </c>
      <c r="G204">
        <v>11250000</v>
      </c>
      <c r="H204">
        <v>210000</v>
      </c>
      <c r="I204">
        <v>18900000</v>
      </c>
      <c r="J204">
        <v>7650000</v>
      </c>
    </row>
    <row r="205" spans="1:10" x14ac:dyDescent="0.3">
      <c r="A205" s="2">
        <v>45859</v>
      </c>
      <c r="B205" t="s">
        <v>21</v>
      </c>
      <c r="C205" t="s">
        <v>16</v>
      </c>
      <c r="D205" t="s">
        <v>17</v>
      </c>
      <c r="E205">
        <v>80</v>
      </c>
      <c r="F205">
        <v>115000</v>
      </c>
      <c r="G205">
        <v>9200000</v>
      </c>
      <c r="H205">
        <v>225000</v>
      </c>
      <c r="I205">
        <v>18000000</v>
      </c>
      <c r="J205">
        <v>8800000</v>
      </c>
    </row>
    <row r="206" spans="1:10" x14ac:dyDescent="0.3">
      <c r="A206" s="2">
        <v>45860</v>
      </c>
      <c r="B206" t="s">
        <v>15</v>
      </c>
      <c r="C206" t="s">
        <v>16</v>
      </c>
      <c r="D206" t="s">
        <v>18</v>
      </c>
      <c r="E206">
        <v>60</v>
      </c>
      <c r="F206">
        <v>155000</v>
      </c>
      <c r="G206">
        <v>9300000</v>
      </c>
      <c r="H206">
        <v>210000</v>
      </c>
      <c r="I206">
        <v>12600000</v>
      </c>
      <c r="J206">
        <v>3300000</v>
      </c>
    </row>
    <row r="207" spans="1:10" x14ac:dyDescent="0.3">
      <c r="A207" s="2">
        <v>45861</v>
      </c>
      <c r="B207" t="s">
        <v>15</v>
      </c>
      <c r="C207" t="s">
        <v>16</v>
      </c>
      <c r="D207" t="s">
        <v>19</v>
      </c>
      <c r="E207">
        <v>60</v>
      </c>
      <c r="F207">
        <v>145000</v>
      </c>
      <c r="G207">
        <v>8700000</v>
      </c>
      <c r="H207">
        <v>210000</v>
      </c>
      <c r="I207">
        <v>12600000</v>
      </c>
      <c r="J207">
        <v>3900000</v>
      </c>
    </row>
    <row r="208" spans="1:10" x14ac:dyDescent="0.3">
      <c r="A208" s="2">
        <v>45862</v>
      </c>
      <c r="B208" t="s">
        <v>15</v>
      </c>
      <c r="C208" t="s">
        <v>22</v>
      </c>
      <c r="D208" t="s">
        <v>17</v>
      </c>
      <c r="E208">
        <v>60</v>
      </c>
      <c r="F208">
        <v>115000</v>
      </c>
      <c r="G208">
        <v>6900000</v>
      </c>
      <c r="H208">
        <v>225000</v>
      </c>
      <c r="I208">
        <v>13500000</v>
      </c>
      <c r="J208">
        <v>6600000</v>
      </c>
    </row>
    <row r="209" spans="1:10" x14ac:dyDescent="0.3">
      <c r="A209" s="2">
        <v>45863</v>
      </c>
      <c r="B209" t="s">
        <v>15</v>
      </c>
      <c r="C209" t="s">
        <v>22</v>
      </c>
      <c r="D209" t="s">
        <v>18</v>
      </c>
      <c r="E209">
        <v>70</v>
      </c>
      <c r="F209">
        <v>155000</v>
      </c>
      <c r="G209">
        <v>10850000</v>
      </c>
      <c r="H209">
        <v>210000</v>
      </c>
      <c r="I209">
        <v>14700000</v>
      </c>
      <c r="J209">
        <v>3850000</v>
      </c>
    </row>
    <row r="210" spans="1:10" x14ac:dyDescent="0.3">
      <c r="A210" s="2">
        <v>45864</v>
      </c>
      <c r="B210" t="s">
        <v>15</v>
      </c>
      <c r="C210" t="s">
        <v>22</v>
      </c>
      <c r="D210" t="s">
        <v>19</v>
      </c>
      <c r="E210">
        <v>50</v>
      </c>
      <c r="F210">
        <v>155000</v>
      </c>
      <c r="G210">
        <v>7750000</v>
      </c>
      <c r="H210">
        <v>210000</v>
      </c>
      <c r="I210">
        <v>10500000</v>
      </c>
      <c r="J210">
        <v>2750000</v>
      </c>
    </row>
    <row r="211" spans="1:10" x14ac:dyDescent="0.3">
      <c r="A211" s="2">
        <v>45865</v>
      </c>
      <c r="B211" t="s">
        <v>15</v>
      </c>
      <c r="C211" t="s">
        <v>22</v>
      </c>
      <c r="D211" t="s">
        <v>17</v>
      </c>
      <c r="E211">
        <v>50</v>
      </c>
      <c r="F211">
        <v>105000</v>
      </c>
      <c r="G211">
        <v>5250000</v>
      </c>
      <c r="H211">
        <v>225000</v>
      </c>
      <c r="I211">
        <v>11250000</v>
      </c>
      <c r="J211">
        <v>6000000</v>
      </c>
    </row>
    <row r="212" spans="1:10" x14ac:dyDescent="0.3">
      <c r="A212" s="2">
        <v>45866</v>
      </c>
      <c r="B212" t="s">
        <v>15</v>
      </c>
      <c r="C212" t="s">
        <v>23</v>
      </c>
      <c r="D212" t="s">
        <v>18</v>
      </c>
      <c r="E212">
        <v>80</v>
      </c>
      <c r="F212">
        <v>155000</v>
      </c>
      <c r="G212">
        <v>12400000</v>
      </c>
      <c r="H212">
        <v>210000</v>
      </c>
      <c r="I212">
        <v>16800000</v>
      </c>
      <c r="J212">
        <v>4400000</v>
      </c>
    </row>
    <row r="213" spans="1:10" x14ac:dyDescent="0.3">
      <c r="A213" s="2">
        <v>45867</v>
      </c>
      <c r="B213" t="s">
        <v>20</v>
      </c>
      <c r="C213" t="s">
        <v>23</v>
      </c>
      <c r="D213" t="s">
        <v>19</v>
      </c>
      <c r="E213">
        <v>70</v>
      </c>
      <c r="F213">
        <v>205000</v>
      </c>
      <c r="G213">
        <v>14350000</v>
      </c>
      <c r="H213">
        <v>210000</v>
      </c>
      <c r="I213">
        <v>14700000</v>
      </c>
      <c r="J213">
        <v>350000</v>
      </c>
    </row>
    <row r="214" spans="1:10" x14ac:dyDescent="0.3">
      <c r="A214" s="2">
        <v>45868</v>
      </c>
      <c r="B214" t="s">
        <v>21</v>
      </c>
      <c r="C214" t="s">
        <v>23</v>
      </c>
      <c r="D214" t="s">
        <v>17</v>
      </c>
      <c r="E214">
        <v>60</v>
      </c>
      <c r="F214">
        <v>195000</v>
      </c>
      <c r="G214">
        <v>11700000</v>
      </c>
      <c r="H214">
        <v>225000</v>
      </c>
      <c r="I214">
        <v>13500000</v>
      </c>
      <c r="J214">
        <v>1800000</v>
      </c>
    </row>
    <row r="215" spans="1:10" x14ac:dyDescent="0.3">
      <c r="A215" s="2">
        <v>45869</v>
      </c>
      <c r="B215" t="s">
        <v>21</v>
      </c>
      <c r="C215" t="s">
        <v>23</v>
      </c>
      <c r="D215" t="s">
        <v>18</v>
      </c>
      <c r="E215">
        <v>40</v>
      </c>
      <c r="F215">
        <v>125000</v>
      </c>
      <c r="G215">
        <v>5000000</v>
      </c>
      <c r="H215">
        <v>210000</v>
      </c>
      <c r="I215">
        <v>8400000</v>
      </c>
      <c r="J215">
        <v>3400000</v>
      </c>
    </row>
    <row r="216" spans="1:10" x14ac:dyDescent="0.3">
      <c r="A216" s="2">
        <v>45869</v>
      </c>
      <c r="B216" t="s">
        <v>21</v>
      </c>
      <c r="C216" t="s">
        <v>23</v>
      </c>
      <c r="D216" t="s">
        <v>18</v>
      </c>
      <c r="E216">
        <v>5000</v>
      </c>
      <c r="F216">
        <v>125000</v>
      </c>
      <c r="G216">
        <v>625000000</v>
      </c>
      <c r="H216">
        <v>210000</v>
      </c>
      <c r="I216">
        <v>1050000000</v>
      </c>
      <c r="J216">
        <v>425000000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75"/>
  <sheetViews>
    <sheetView topLeftCell="A44" zoomScale="77" workbookViewId="0">
      <selection activeCell="Q17" sqref="Q17"/>
    </sheetView>
  </sheetViews>
  <sheetFormatPr defaultRowHeight="14.4" x14ac:dyDescent="0.3"/>
  <cols>
    <col min="1" max="1" width="21.109375" bestFit="1" customWidth="1"/>
    <col min="2" max="4" width="20.109375" bestFit="1" customWidth="1"/>
  </cols>
  <sheetData>
    <row r="3" spans="1:2" x14ac:dyDescent="0.3">
      <c r="A3" t="s">
        <v>24</v>
      </c>
    </row>
    <row r="4" spans="1:2" x14ac:dyDescent="0.3">
      <c r="A4" s="3">
        <v>2133850000</v>
      </c>
    </row>
    <row r="6" spans="1:2" x14ac:dyDescent="0.3">
      <c r="A6" t="s">
        <v>25</v>
      </c>
    </row>
    <row r="7" spans="1:2" x14ac:dyDescent="0.3">
      <c r="A7" s="3">
        <v>3198300000</v>
      </c>
    </row>
    <row r="9" spans="1:2" x14ac:dyDescent="0.3">
      <c r="A9" t="s">
        <v>26</v>
      </c>
    </row>
    <row r="10" spans="1:2" x14ac:dyDescent="0.3">
      <c r="A10" s="3">
        <v>1064450000</v>
      </c>
    </row>
    <row r="12" spans="1:2" x14ac:dyDescent="0.3">
      <c r="A12" s="4" t="s">
        <v>27</v>
      </c>
      <c r="B12" t="s">
        <v>28</v>
      </c>
    </row>
    <row r="13" spans="1:2" x14ac:dyDescent="0.3">
      <c r="A13" s="14" t="s">
        <v>18</v>
      </c>
      <c r="B13" s="3">
        <v>8410</v>
      </c>
    </row>
    <row r="14" spans="1:2" x14ac:dyDescent="0.3">
      <c r="A14" s="14" t="s">
        <v>19</v>
      </c>
      <c r="B14" s="3">
        <v>3220</v>
      </c>
    </row>
    <row r="15" spans="1:2" x14ac:dyDescent="0.3">
      <c r="A15" s="14" t="s">
        <v>17</v>
      </c>
      <c r="B15" s="3">
        <v>3360</v>
      </c>
    </row>
    <row r="16" spans="1:2" x14ac:dyDescent="0.3">
      <c r="A16" s="14" t="s">
        <v>29</v>
      </c>
      <c r="B16" s="3">
        <v>14990</v>
      </c>
    </row>
    <row r="25" spans="1:4" x14ac:dyDescent="0.3">
      <c r="B25" s="4" t="s">
        <v>38</v>
      </c>
    </row>
    <row r="26" spans="1:4" x14ac:dyDescent="0.3">
      <c r="A26" s="4" t="s">
        <v>27</v>
      </c>
      <c r="B26" t="s">
        <v>30</v>
      </c>
      <c r="C26" t="s">
        <v>31</v>
      </c>
      <c r="D26" t="s">
        <v>32</v>
      </c>
    </row>
    <row r="27" spans="1:4" x14ac:dyDescent="0.3">
      <c r="A27" s="14" t="s">
        <v>15</v>
      </c>
      <c r="B27" s="3">
        <v>1024250000</v>
      </c>
      <c r="C27" s="3">
        <v>1482000000</v>
      </c>
      <c r="D27" s="3">
        <v>457750000</v>
      </c>
    </row>
    <row r="28" spans="1:4" x14ac:dyDescent="0.3">
      <c r="A28" s="14" t="s">
        <v>21</v>
      </c>
      <c r="B28" s="3">
        <v>932900000</v>
      </c>
      <c r="C28" s="3">
        <v>1484550000</v>
      </c>
      <c r="D28" s="3">
        <v>551650000</v>
      </c>
    </row>
    <row r="29" spans="1:4" x14ac:dyDescent="0.3">
      <c r="A29" s="14" t="s">
        <v>20</v>
      </c>
      <c r="B29" s="3">
        <v>176700000</v>
      </c>
      <c r="C29" s="3">
        <v>231750000</v>
      </c>
      <c r="D29" s="3">
        <v>55050000</v>
      </c>
    </row>
    <row r="30" spans="1:4" x14ac:dyDescent="0.3">
      <c r="A30" s="14" t="s">
        <v>29</v>
      </c>
      <c r="B30" s="3">
        <v>2133850000</v>
      </c>
      <c r="C30" s="3">
        <v>3198300000</v>
      </c>
      <c r="D30" s="3">
        <v>1064450000</v>
      </c>
    </row>
    <row r="41" spans="1:4" x14ac:dyDescent="0.3">
      <c r="B41" s="4" t="s">
        <v>38</v>
      </c>
    </row>
    <row r="42" spans="1:4" x14ac:dyDescent="0.3">
      <c r="A42" s="4" t="s">
        <v>27</v>
      </c>
      <c r="B42" t="s">
        <v>30</v>
      </c>
      <c r="C42" t="s">
        <v>31</v>
      </c>
      <c r="D42" t="s">
        <v>32</v>
      </c>
    </row>
    <row r="43" spans="1:4" x14ac:dyDescent="0.3">
      <c r="A43" s="14" t="s">
        <v>18</v>
      </c>
      <c r="B43" s="3">
        <v>1140450000</v>
      </c>
      <c r="C43" s="3">
        <v>1766100000</v>
      </c>
      <c r="D43" s="3">
        <v>625650000</v>
      </c>
    </row>
    <row r="44" spans="1:4" x14ac:dyDescent="0.3">
      <c r="A44" s="14" t="s">
        <v>19</v>
      </c>
      <c r="B44" s="3">
        <v>479400000</v>
      </c>
      <c r="C44" s="3">
        <v>676200000</v>
      </c>
      <c r="D44" s="3">
        <v>196800000</v>
      </c>
    </row>
    <row r="45" spans="1:4" x14ac:dyDescent="0.3">
      <c r="A45" s="14" t="s">
        <v>17</v>
      </c>
      <c r="B45" s="3">
        <v>514000000</v>
      </c>
      <c r="C45" s="3">
        <v>756000000</v>
      </c>
      <c r="D45" s="3">
        <v>242000000</v>
      </c>
    </row>
    <row r="46" spans="1:4" x14ac:dyDescent="0.3">
      <c r="A46" s="14" t="s">
        <v>29</v>
      </c>
      <c r="B46" s="3">
        <v>2133850000</v>
      </c>
      <c r="C46" s="3">
        <v>3198300000</v>
      </c>
      <c r="D46" s="3">
        <v>1064450000</v>
      </c>
    </row>
    <row r="49" spans="1:2" x14ac:dyDescent="0.3">
      <c r="A49" s="4" t="s">
        <v>27</v>
      </c>
      <c r="B49" t="s">
        <v>32</v>
      </c>
    </row>
    <row r="50" spans="1:2" x14ac:dyDescent="0.3">
      <c r="A50" s="14" t="s">
        <v>33</v>
      </c>
      <c r="B50" s="3">
        <v>118250000</v>
      </c>
    </row>
    <row r="51" spans="1:2" x14ac:dyDescent="0.3">
      <c r="A51" s="14" t="s">
        <v>34</v>
      </c>
      <c r="B51" s="3">
        <v>132950000</v>
      </c>
    </row>
    <row r="52" spans="1:2" x14ac:dyDescent="0.3">
      <c r="A52" s="14" t="s">
        <v>35</v>
      </c>
      <c r="B52" s="3">
        <v>120400000</v>
      </c>
    </row>
    <row r="53" spans="1:2" x14ac:dyDescent="0.3">
      <c r="A53" s="14" t="s">
        <v>36</v>
      </c>
      <c r="B53" s="3">
        <v>148750000</v>
      </c>
    </row>
    <row r="54" spans="1:2" x14ac:dyDescent="0.3">
      <c r="A54" s="14" t="s">
        <v>37</v>
      </c>
      <c r="B54" s="3">
        <v>544100000</v>
      </c>
    </row>
    <row r="55" spans="1:2" x14ac:dyDescent="0.3">
      <c r="A55" s="14" t="s">
        <v>29</v>
      </c>
      <c r="B55" s="3">
        <v>1064450000</v>
      </c>
    </row>
    <row r="64" spans="1:2" x14ac:dyDescent="0.3">
      <c r="B64" s="4" t="s">
        <v>38</v>
      </c>
    </row>
    <row r="65" spans="1:4" x14ac:dyDescent="0.3">
      <c r="A65" s="4" t="s">
        <v>27</v>
      </c>
      <c r="B65" t="s">
        <v>30</v>
      </c>
      <c r="C65" t="s">
        <v>31</v>
      </c>
      <c r="D65" t="s">
        <v>32</v>
      </c>
    </row>
    <row r="66" spans="1:4" x14ac:dyDescent="0.3">
      <c r="A66" s="14" t="s">
        <v>18</v>
      </c>
      <c r="B66" s="3">
        <v>1140450000</v>
      </c>
      <c r="C66" s="3">
        <v>1766100000</v>
      </c>
      <c r="D66" s="3">
        <v>625650000</v>
      </c>
    </row>
    <row r="67" spans="1:4" x14ac:dyDescent="0.3">
      <c r="A67" s="14" t="s">
        <v>19</v>
      </c>
      <c r="B67" s="3">
        <v>479400000</v>
      </c>
      <c r="C67" s="3">
        <v>676200000</v>
      </c>
      <c r="D67" s="3">
        <v>196800000</v>
      </c>
    </row>
    <row r="68" spans="1:4" x14ac:dyDescent="0.3">
      <c r="A68" s="14" t="s">
        <v>17</v>
      </c>
      <c r="B68" s="3">
        <v>514000000</v>
      </c>
      <c r="C68" s="3">
        <v>756000000</v>
      </c>
      <c r="D68" s="3">
        <v>242000000</v>
      </c>
    </row>
    <row r="69" spans="1:4" x14ac:dyDescent="0.3">
      <c r="A69" s="14" t="s">
        <v>29</v>
      </c>
      <c r="B69" s="3">
        <v>2133850000</v>
      </c>
      <c r="C69" s="3">
        <v>3198300000</v>
      </c>
      <c r="D69" s="3">
        <v>1064450000</v>
      </c>
    </row>
    <row r="71" spans="1:4" x14ac:dyDescent="0.3">
      <c r="A71" s="4" t="s">
        <v>27</v>
      </c>
      <c r="B71" t="s">
        <v>32</v>
      </c>
    </row>
    <row r="72" spans="1:4" x14ac:dyDescent="0.3">
      <c r="A72" s="14" t="s">
        <v>15</v>
      </c>
      <c r="B72" s="3">
        <v>457750000</v>
      </c>
    </row>
    <row r="73" spans="1:4" x14ac:dyDescent="0.3">
      <c r="A73" s="14" t="s">
        <v>21</v>
      </c>
      <c r="B73" s="3">
        <v>551650000</v>
      </c>
    </row>
    <row r="74" spans="1:4" x14ac:dyDescent="0.3">
      <c r="A74" s="14" t="s">
        <v>20</v>
      </c>
      <c r="B74" s="3">
        <v>55050000</v>
      </c>
    </row>
    <row r="75" spans="1:4" x14ac:dyDescent="0.3">
      <c r="A75" s="14" t="s">
        <v>29</v>
      </c>
      <c r="B75" s="3">
        <v>1064450000</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8"/>
  <sheetViews>
    <sheetView showGridLines="0" tabSelected="1" zoomScale="60" zoomScaleNormal="60" workbookViewId="0">
      <selection activeCell="U48" sqref="U48"/>
    </sheetView>
  </sheetViews>
  <sheetFormatPr defaultRowHeight="14.4" x14ac:dyDescent="0.3"/>
  <cols>
    <col min="3" max="3" width="29.88671875" customWidth="1"/>
    <col min="8" max="8" width="28.33203125" customWidth="1"/>
    <col min="12" max="12" width="8" customWidth="1"/>
    <col min="13" max="13" width="24.109375" customWidth="1"/>
  </cols>
  <sheetData>
    <row r="1" spans="1:23" x14ac:dyDescent="0.3">
      <c r="A1" s="6"/>
      <c r="B1" s="6"/>
      <c r="C1" s="6"/>
      <c r="D1" s="6"/>
      <c r="E1" s="6"/>
      <c r="F1" s="6"/>
      <c r="G1" s="6"/>
      <c r="H1" s="6"/>
      <c r="I1" s="6"/>
      <c r="J1" s="6"/>
      <c r="K1" s="6"/>
      <c r="L1" s="6"/>
      <c r="M1" s="6"/>
      <c r="N1" s="6"/>
      <c r="O1" s="6"/>
      <c r="P1" s="6"/>
      <c r="Q1" s="6"/>
      <c r="R1" s="6"/>
      <c r="S1" s="6"/>
      <c r="T1" s="6"/>
      <c r="U1" s="6"/>
      <c r="V1" s="6"/>
      <c r="W1" s="7"/>
    </row>
    <row r="2" spans="1:23" ht="36.6" customHeight="1" x14ac:dyDescent="0.7">
      <c r="C2" s="15" t="s">
        <v>0</v>
      </c>
    </row>
    <row r="4" spans="1:23" x14ac:dyDescent="0.3">
      <c r="C4" s="7"/>
      <c r="D4" s="7"/>
      <c r="E4" s="7"/>
      <c r="F4" s="7"/>
      <c r="G4" s="7"/>
      <c r="H4" s="7"/>
      <c r="I4" s="7"/>
      <c r="J4" s="7"/>
      <c r="K4" s="7"/>
      <c r="L4" s="7"/>
      <c r="M4" s="7"/>
    </row>
    <row r="5" spans="1:23" x14ac:dyDescent="0.3">
      <c r="C5" s="12" t="s">
        <v>1</v>
      </c>
      <c r="H5" s="12" t="s">
        <v>2</v>
      </c>
      <c r="M5" s="13" t="s">
        <v>3</v>
      </c>
    </row>
    <row r="6" spans="1:23" x14ac:dyDescent="0.3">
      <c r="C6" s="10">
        <f>GETPIVOTDATA("Total pembelian",Sheet2!$A$3)</f>
        <v>2133850000</v>
      </c>
      <c r="H6" s="10">
        <f>GETPIVOTDATA("Total Penjualan",Sheet2!$A$6)</f>
        <v>3198300000</v>
      </c>
      <c r="M6" s="10">
        <f>GETPIVOTDATA("Laba",Sheet2!$A$9)</f>
        <v>1064450000</v>
      </c>
    </row>
    <row r="7" spans="1:23" x14ac:dyDescent="0.3">
      <c r="A7" s="6"/>
      <c r="B7" s="6"/>
      <c r="C7" s="6"/>
      <c r="D7" s="6"/>
      <c r="E7" s="6"/>
      <c r="F7" s="6"/>
      <c r="G7" s="6"/>
      <c r="H7" s="6"/>
      <c r="I7" s="6"/>
      <c r="J7" s="6"/>
      <c r="K7" s="6"/>
      <c r="L7" s="6"/>
      <c r="M7" s="6"/>
      <c r="N7" s="6"/>
      <c r="O7" s="6"/>
      <c r="P7" s="6"/>
      <c r="Q7" s="6"/>
      <c r="R7" s="6"/>
      <c r="S7" s="6"/>
      <c r="T7" s="6"/>
      <c r="U7" s="6"/>
      <c r="V7" s="6"/>
    </row>
    <row r="13" spans="1:23" x14ac:dyDescent="0.3">
      <c r="L13" s="8"/>
      <c r="M13" s="7"/>
    </row>
    <row r="17" spans="8:9" x14ac:dyDescent="0.3">
      <c r="I17" s="9"/>
    </row>
    <row r="18" spans="8:9" x14ac:dyDescent="0.3">
      <c r="H18"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3"/>
  <sheetViews>
    <sheetView workbookViewId="0">
      <selection activeCell="O14" sqref="O14"/>
    </sheetView>
  </sheetViews>
  <sheetFormatPr defaultRowHeight="14.4" x14ac:dyDescent="0.3"/>
  <cols>
    <col min="1" max="1" width="10.5546875" style="2" bestFit="1" customWidth="1"/>
    <col min="2" max="2" width="7.33203125" customWidth="1"/>
    <col min="3" max="3" width="16.88671875" customWidth="1"/>
    <col min="4" max="4" width="10" customWidth="1"/>
    <col min="5" max="5" width="9.44140625" style="1" customWidth="1"/>
    <col min="6" max="6" width="23.21875" style="1" customWidth="1"/>
    <col min="7" max="7" width="16.44140625" style="1" customWidth="1"/>
    <col min="8" max="8" width="22.77734375" style="1" customWidth="1"/>
    <col min="9" max="9" width="16" style="1" customWidth="1"/>
    <col min="10" max="10" width="12.21875" style="1" bestFit="1" customWidth="1"/>
  </cols>
  <sheetData>
    <row r="1" spans="1:10" x14ac:dyDescent="0.3">
      <c r="A1" t="s">
        <v>5</v>
      </c>
      <c r="B1" t="s">
        <v>6</v>
      </c>
      <c r="C1" t="s">
        <v>7</v>
      </c>
      <c r="D1" t="s">
        <v>8</v>
      </c>
      <c r="E1" t="s">
        <v>9</v>
      </c>
      <c r="F1" t="s">
        <v>10</v>
      </c>
      <c r="G1" t="s">
        <v>11</v>
      </c>
      <c r="H1" t="s">
        <v>12</v>
      </c>
      <c r="I1" t="s">
        <v>13</v>
      </c>
      <c r="J1" t="s">
        <v>14</v>
      </c>
    </row>
    <row r="2" spans="1:10" x14ac:dyDescent="0.3">
      <c r="A2" s="2">
        <v>45658</v>
      </c>
      <c r="B2" t="s">
        <v>15</v>
      </c>
      <c r="C2" t="s">
        <v>16</v>
      </c>
      <c r="D2" t="s">
        <v>17</v>
      </c>
      <c r="E2" s="1">
        <v>80</v>
      </c>
      <c r="F2" s="1">
        <v>195000</v>
      </c>
      <c r="G2" s="1">
        <v>15600000</v>
      </c>
      <c r="H2" s="1">
        <v>225000</v>
      </c>
      <c r="I2" s="1">
        <v>18000000</v>
      </c>
      <c r="J2" s="1">
        <v>2400000</v>
      </c>
    </row>
    <row r="3" spans="1:10" x14ac:dyDescent="0.3">
      <c r="A3" s="2">
        <v>45659</v>
      </c>
      <c r="B3" t="s">
        <v>15</v>
      </c>
      <c r="C3" t="s">
        <v>16</v>
      </c>
      <c r="D3" t="s">
        <v>18</v>
      </c>
      <c r="E3" s="1">
        <v>50</v>
      </c>
      <c r="F3" s="1">
        <v>115000</v>
      </c>
      <c r="G3" s="1">
        <v>5750000</v>
      </c>
      <c r="H3" s="1">
        <v>210000</v>
      </c>
      <c r="I3" s="1">
        <v>10500000</v>
      </c>
      <c r="J3" s="1">
        <v>4750000</v>
      </c>
    </row>
    <row r="4" spans="1:10" x14ac:dyDescent="0.3">
      <c r="A4" s="2">
        <v>45660</v>
      </c>
      <c r="B4" t="s">
        <v>15</v>
      </c>
      <c r="C4" t="s">
        <v>16</v>
      </c>
      <c r="D4" t="s">
        <v>19</v>
      </c>
      <c r="E4" s="1">
        <v>60</v>
      </c>
      <c r="F4" s="1">
        <v>135000</v>
      </c>
      <c r="G4" s="1">
        <v>8100000</v>
      </c>
      <c r="H4" s="1">
        <v>210000</v>
      </c>
      <c r="I4" s="1">
        <v>12600000</v>
      </c>
      <c r="J4" s="1">
        <v>4500000</v>
      </c>
    </row>
    <row r="5" spans="1:10" x14ac:dyDescent="0.3">
      <c r="A5" s="2">
        <v>45661</v>
      </c>
      <c r="B5" t="s">
        <v>15</v>
      </c>
      <c r="C5" t="s">
        <v>16</v>
      </c>
      <c r="D5" t="s">
        <v>17</v>
      </c>
      <c r="E5" s="1">
        <v>50</v>
      </c>
      <c r="F5" s="1">
        <v>145000</v>
      </c>
      <c r="G5" s="1">
        <v>7250000</v>
      </c>
      <c r="H5" s="1">
        <v>225000</v>
      </c>
      <c r="I5" s="1">
        <v>11250000</v>
      </c>
      <c r="J5" s="1">
        <v>4000000</v>
      </c>
    </row>
    <row r="6" spans="1:10" x14ac:dyDescent="0.3">
      <c r="A6" s="2">
        <v>45662</v>
      </c>
      <c r="B6" t="s">
        <v>15</v>
      </c>
      <c r="C6" t="s">
        <v>16</v>
      </c>
      <c r="D6" t="s">
        <v>18</v>
      </c>
      <c r="E6" s="1">
        <v>80</v>
      </c>
      <c r="F6" s="1">
        <v>155000</v>
      </c>
      <c r="G6" s="1">
        <v>12400000</v>
      </c>
      <c r="H6" s="1">
        <v>210000</v>
      </c>
      <c r="I6" s="1">
        <v>16800000</v>
      </c>
      <c r="J6" s="1">
        <v>4400000</v>
      </c>
    </row>
    <row r="7" spans="1:10" x14ac:dyDescent="0.3">
      <c r="A7" s="2">
        <v>45663</v>
      </c>
      <c r="B7" t="s">
        <v>15</v>
      </c>
      <c r="C7" t="s">
        <v>16</v>
      </c>
      <c r="D7" t="s">
        <v>19</v>
      </c>
      <c r="E7" s="1">
        <v>80</v>
      </c>
      <c r="F7" s="1">
        <v>85000</v>
      </c>
      <c r="G7" s="1">
        <v>6800000</v>
      </c>
      <c r="H7" s="1">
        <v>210000</v>
      </c>
      <c r="I7" s="1">
        <v>16800000</v>
      </c>
      <c r="J7" s="1">
        <v>10000000</v>
      </c>
    </row>
    <row r="8" spans="1:10" x14ac:dyDescent="0.3">
      <c r="A8" s="2">
        <v>45664</v>
      </c>
      <c r="B8" t="s">
        <v>15</v>
      </c>
      <c r="C8" t="s">
        <v>16</v>
      </c>
      <c r="D8" t="s">
        <v>17</v>
      </c>
      <c r="E8" s="1">
        <v>60</v>
      </c>
      <c r="F8" s="1">
        <v>165000</v>
      </c>
      <c r="G8" s="1">
        <v>9900000</v>
      </c>
      <c r="H8" s="1">
        <v>225000</v>
      </c>
      <c r="I8" s="1">
        <v>13500000</v>
      </c>
      <c r="J8" s="1">
        <v>3600000</v>
      </c>
    </row>
    <row r="9" spans="1:10" x14ac:dyDescent="0.3">
      <c r="A9" s="2">
        <v>45665</v>
      </c>
      <c r="B9" t="s">
        <v>20</v>
      </c>
      <c r="C9" t="s">
        <v>16</v>
      </c>
      <c r="D9" t="s">
        <v>18</v>
      </c>
      <c r="E9" s="1">
        <v>40</v>
      </c>
      <c r="F9" s="1">
        <v>145000</v>
      </c>
      <c r="G9" s="1">
        <v>5800000</v>
      </c>
      <c r="H9" s="1">
        <v>210000</v>
      </c>
      <c r="I9" s="1">
        <v>8400000</v>
      </c>
      <c r="J9" s="1">
        <v>2600000</v>
      </c>
    </row>
    <row r="10" spans="1:10" x14ac:dyDescent="0.3">
      <c r="A10" s="2">
        <v>45666</v>
      </c>
      <c r="B10" t="s">
        <v>21</v>
      </c>
      <c r="C10" t="s">
        <v>16</v>
      </c>
      <c r="D10" t="s">
        <v>19</v>
      </c>
      <c r="E10" s="1">
        <v>40</v>
      </c>
      <c r="F10" s="1">
        <v>115000</v>
      </c>
      <c r="G10" s="1">
        <v>4600000</v>
      </c>
      <c r="H10" s="1">
        <v>210000</v>
      </c>
      <c r="I10" s="1">
        <v>8400000</v>
      </c>
      <c r="J10" s="1">
        <v>3800000</v>
      </c>
    </row>
    <row r="11" spans="1:10" x14ac:dyDescent="0.3">
      <c r="A11" s="2">
        <v>45667</v>
      </c>
      <c r="B11" t="s">
        <v>21</v>
      </c>
      <c r="C11" t="s">
        <v>16</v>
      </c>
      <c r="D11" t="s">
        <v>17</v>
      </c>
      <c r="E11" s="1">
        <v>80</v>
      </c>
      <c r="F11" s="1">
        <v>95000</v>
      </c>
      <c r="G11" s="1">
        <v>7600000</v>
      </c>
      <c r="H11" s="1">
        <v>225000</v>
      </c>
      <c r="I11" s="1">
        <v>18000000</v>
      </c>
      <c r="J11" s="1">
        <v>10400000</v>
      </c>
    </row>
    <row r="12" spans="1:10" x14ac:dyDescent="0.3">
      <c r="A12" s="2">
        <v>45668</v>
      </c>
      <c r="B12" t="s">
        <v>15</v>
      </c>
      <c r="C12" t="s">
        <v>16</v>
      </c>
      <c r="D12" t="s">
        <v>18</v>
      </c>
      <c r="E12" s="1">
        <v>80</v>
      </c>
      <c r="F12" s="1">
        <v>95000</v>
      </c>
      <c r="G12" s="1">
        <v>7600000</v>
      </c>
      <c r="H12" s="1">
        <v>210000</v>
      </c>
      <c r="I12" s="1">
        <v>16800000</v>
      </c>
      <c r="J12" s="1">
        <v>9200000</v>
      </c>
    </row>
    <row r="13" spans="1:10" x14ac:dyDescent="0.3">
      <c r="A13" s="2">
        <v>45669</v>
      </c>
      <c r="B13" t="s">
        <v>15</v>
      </c>
      <c r="C13" t="s">
        <v>16</v>
      </c>
      <c r="D13" t="s">
        <v>19</v>
      </c>
      <c r="E13" s="1">
        <v>70</v>
      </c>
      <c r="F13" s="1">
        <v>125000</v>
      </c>
      <c r="G13" s="1">
        <v>8750000</v>
      </c>
      <c r="H13" s="1">
        <v>210000</v>
      </c>
      <c r="I13" s="1">
        <v>14700000</v>
      </c>
      <c r="J13" s="1">
        <v>5950000</v>
      </c>
    </row>
    <row r="14" spans="1:10" x14ac:dyDescent="0.3">
      <c r="A14" s="2">
        <v>45670</v>
      </c>
      <c r="B14" t="s">
        <v>15</v>
      </c>
      <c r="C14" t="s">
        <v>22</v>
      </c>
      <c r="D14" t="s">
        <v>17</v>
      </c>
      <c r="E14" s="1">
        <v>50</v>
      </c>
      <c r="F14" s="1">
        <v>185000</v>
      </c>
      <c r="G14" s="1">
        <v>9250000</v>
      </c>
      <c r="H14" s="1">
        <v>225000</v>
      </c>
      <c r="I14" s="1">
        <v>11250000</v>
      </c>
      <c r="J14" s="1">
        <v>2000000</v>
      </c>
    </row>
    <row r="15" spans="1:10" x14ac:dyDescent="0.3">
      <c r="A15" s="2">
        <v>45671</v>
      </c>
      <c r="B15" t="s">
        <v>15</v>
      </c>
      <c r="C15" t="s">
        <v>22</v>
      </c>
      <c r="D15" t="s">
        <v>18</v>
      </c>
      <c r="E15" s="1">
        <v>50</v>
      </c>
      <c r="F15" s="1">
        <v>155000</v>
      </c>
      <c r="G15" s="1">
        <v>7750000</v>
      </c>
      <c r="H15" s="1">
        <v>210000</v>
      </c>
      <c r="I15" s="1">
        <v>10500000</v>
      </c>
      <c r="J15" s="1">
        <v>2750000</v>
      </c>
    </row>
    <row r="16" spans="1:10" x14ac:dyDescent="0.3">
      <c r="A16" s="2">
        <v>45672</v>
      </c>
      <c r="B16" t="s">
        <v>15</v>
      </c>
      <c r="C16" t="s">
        <v>22</v>
      </c>
      <c r="D16" t="s">
        <v>19</v>
      </c>
      <c r="E16" s="1">
        <v>80</v>
      </c>
      <c r="F16" s="1">
        <v>105000</v>
      </c>
      <c r="G16" s="1">
        <v>8400000</v>
      </c>
      <c r="H16" s="1">
        <v>210000</v>
      </c>
      <c r="I16" s="1">
        <v>16800000</v>
      </c>
      <c r="J16" s="1">
        <v>8400000</v>
      </c>
    </row>
    <row r="17" spans="1:10" x14ac:dyDescent="0.3">
      <c r="A17" s="2">
        <v>45673</v>
      </c>
      <c r="B17" t="s">
        <v>15</v>
      </c>
      <c r="C17" t="s">
        <v>22</v>
      </c>
      <c r="D17" t="s">
        <v>17</v>
      </c>
      <c r="E17" s="1">
        <v>50</v>
      </c>
      <c r="F17" s="1">
        <v>195000</v>
      </c>
      <c r="G17" s="1">
        <v>9750000</v>
      </c>
      <c r="H17" s="1">
        <v>225000</v>
      </c>
      <c r="I17" s="1">
        <v>11250000</v>
      </c>
      <c r="J17" s="1">
        <v>1500000</v>
      </c>
    </row>
    <row r="18" spans="1:10" x14ac:dyDescent="0.3">
      <c r="A18" s="2">
        <v>45674</v>
      </c>
      <c r="B18" t="s">
        <v>15</v>
      </c>
      <c r="C18" t="s">
        <v>23</v>
      </c>
      <c r="D18" t="s">
        <v>18</v>
      </c>
      <c r="E18" s="1">
        <v>60</v>
      </c>
      <c r="F18" s="1">
        <v>125000</v>
      </c>
      <c r="G18" s="1">
        <v>7500000</v>
      </c>
      <c r="H18" s="1">
        <v>210000</v>
      </c>
      <c r="I18" s="1">
        <v>12600000</v>
      </c>
      <c r="J18" s="1">
        <v>5100000</v>
      </c>
    </row>
    <row r="19" spans="1:10" x14ac:dyDescent="0.3">
      <c r="A19" s="2">
        <v>45675</v>
      </c>
      <c r="B19" t="s">
        <v>20</v>
      </c>
      <c r="C19" t="s">
        <v>23</v>
      </c>
      <c r="D19" t="s">
        <v>19</v>
      </c>
      <c r="E19" s="1">
        <v>80</v>
      </c>
      <c r="F19" s="1">
        <v>185000</v>
      </c>
      <c r="G19" s="1">
        <v>14800000</v>
      </c>
      <c r="H19" s="1">
        <v>210000</v>
      </c>
      <c r="I19" s="1">
        <v>16800000</v>
      </c>
      <c r="J19" s="1">
        <v>2000000</v>
      </c>
    </row>
    <row r="20" spans="1:10" x14ac:dyDescent="0.3">
      <c r="A20" s="2">
        <v>45676</v>
      </c>
      <c r="B20" t="s">
        <v>21</v>
      </c>
      <c r="C20" t="s">
        <v>23</v>
      </c>
      <c r="D20" t="s">
        <v>17</v>
      </c>
      <c r="E20" s="1">
        <v>60</v>
      </c>
      <c r="F20" s="1">
        <v>205000</v>
      </c>
      <c r="G20" s="1">
        <v>12300000</v>
      </c>
      <c r="H20" s="1">
        <v>225000</v>
      </c>
      <c r="I20" s="1">
        <v>13500000</v>
      </c>
      <c r="J20" s="1">
        <v>1200000</v>
      </c>
    </row>
    <row r="21" spans="1:10" x14ac:dyDescent="0.3">
      <c r="A21" s="2">
        <v>45677</v>
      </c>
      <c r="B21" t="s">
        <v>21</v>
      </c>
      <c r="C21" t="s">
        <v>23</v>
      </c>
      <c r="D21" t="s">
        <v>18</v>
      </c>
      <c r="E21" s="1">
        <v>70</v>
      </c>
      <c r="F21" s="1">
        <v>115000</v>
      </c>
      <c r="G21" s="1">
        <v>8050000</v>
      </c>
      <c r="H21" s="1">
        <v>210000</v>
      </c>
      <c r="I21" s="1">
        <v>14700000</v>
      </c>
      <c r="J21" s="1">
        <v>6650000</v>
      </c>
    </row>
    <row r="22" spans="1:10" x14ac:dyDescent="0.3">
      <c r="A22" s="2">
        <v>45678</v>
      </c>
      <c r="B22" t="s">
        <v>20</v>
      </c>
      <c r="C22" t="s">
        <v>22</v>
      </c>
      <c r="D22" t="s">
        <v>19</v>
      </c>
      <c r="E22" s="1">
        <v>50</v>
      </c>
      <c r="F22" s="1">
        <v>185000</v>
      </c>
      <c r="G22" s="1">
        <v>9250000</v>
      </c>
      <c r="H22" s="1">
        <v>210000</v>
      </c>
      <c r="I22" s="1">
        <v>10500000</v>
      </c>
      <c r="J22" s="1">
        <v>1250000</v>
      </c>
    </row>
    <row r="23" spans="1:10" x14ac:dyDescent="0.3">
      <c r="A23" s="2">
        <v>45679</v>
      </c>
      <c r="B23" t="s">
        <v>20</v>
      </c>
      <c r="C23" t="s">
        <v>22</v>
      </c>
      <c r="D23" t="s">
        <v>17</v>
      </c>
      <c r="E23" s="1">
        <v>50</v>
      </c>
      <c r="F23" s="1">
        <v>145000</v>
      </c>
      <c r="G23" s="1">
        <v>7250000</v>
      </c>
      <c r="H23" s="1">
        <v>225000</v>
      </c>
      <c r="I23" s="1">
        <v>11250000</v>
      </c>
      <c r="J23" s="1">
        <v>4000000</v>
      </c>
    </row>
    <row r="24" spans="1:10" x14ac:dyDescent="0.3">
      <c r="A24" s="2">
        <v>45680</v>
      </c>
      <c r="B24" t="s">
        <v>15</v>
      </c>
      <c r="C24" t="s">
        <v>22</v>
      </c>
      <c r="D24" t="s">
        <v>18</v>
      </c>
      <c r="E24" s="1">
        <v>70</v>
      </c>
      <c r="F24" s="1">
        <v>125000</v>
      </c>
      <c r="G24" s="1">
        <v>8750000</v>
      </c>
      <c r="H24" s="1">
        <v>210000</v>
      </c>
      <c r="I24" s="1">
        <v>14700000</v>
      </c>
      <c r="J24" s="1">
        <v>5950000</v>
      </c>
    </row>
    <row r="25" spans="1:10" x14ac:dyDescent="0.3">
      <c r="A25" s="2">
        <v>45681</v>
      </c>
      <c r="B25" t="s">
        <v>15</v>
      </c>
      <c r="C25" t="s">
        <v>22</v>
      </c>
      <c r="D25" t="s">
        <v>19</v>
      </c>
      <c r="E25" s="1">
        <v>60</v>
      </c>
      <c r="F25" s="1">
        <v>85000</v>
      </c>
      <c r="G25" s="1">
        <v>5100000</v>
      </c>
      <c r="H25" s="1">
        <v>210000</v>
      </c>
      <c r="I25" s="1">
        <v>12600000</v>
      </c>
      <c r="J25" s="1">
        <v>7500000</v>
      </c>
    </row>
    <row r="26" spans="1:10" x14ac:dyDescent="0.3">
      <c r="A26" s="2">
        <v>45682</v>
      </c>
      <c r="B26" t="s">
        <v>15</v>
      </c>
      <c r="C26" t="s">
        <v>22</v>
      </c>
      <c r="D26" t="s">
        <v>17</v>
      </c>
      <c r="E26" s="1">
        <v>90</v>
      </c>
      <c r="F26" s="1">
        <v>185000</v>
      </c>
      <c r="G26" s="1">
        <v>16650000</v>
      </c>
      <c r="H26" s="1">
        <v>225000</v>
      </c>
      <c r="I26" s="1">
        <v>20250000</v>
      </c>
      <c r="J26" s="1">
        <v>3600000</v>
      </c>
    </row>
    <row r="27" spans="1:10" x14ac:dyDescent="0.3">
      <c r="A27" s="2">
        <v>45683</v>
      </c>
      <c r="B27" t="s">
        <v>15</v>
      </c>
      <c r="C27" t="s">
        <v>22</v>
      </c>
      <c r="D27" t="s">
        <v>18</v>
      </c>
      <c r="E27" s="1">
        <v>50</v>
      </c>
      <c r="F27" s="1">
        <v>145000</v>
      </c>
      <c r="G27" s="1">
        <v>7250000</v>
      </c>
      <c r="H27" s="1">
        <v>210000</v>
      </c>
      <c r="I27" s="1">
        <v>10500000</v>
      </c>
      <c r="J27" s="1">
        <v>3250000</v>
      </c>
    </row>
    <row r="28" spans="1:10" x14ac:dyDescent="0.3">
      <c r="A28" s="2">
        <v>45684</v>
      </c>
      <c r="B28" t="s">
        <v>15</v>
      </c>
      <c r="C28" t="s">
        <v>22</v>
      </c>
      <c r="D28" t="s">
        <v>19</v>
      </c>
      <c r="E28" s="1">
        <v>70</v>
      </c>
      <c r="F28" s="1">
        <v>155000</v>
      </c>
      <c r="G28" s="1">
        <v>10850000</v>
      </c>
      <c r="H28" s="1">
        <v>210000</v>
      </c>
      <c r="I28" s="1">
        <v>14700000</v>
      </c>
      <c r="J28" s="1">
        <v>3850000</v>
      </c>
    </row>
    <row r="29" spans="1:10" x14ac:dyDescent="0.3">
      <c r="A29" s="2">
        <v>45685</v>
      </c>
      <c r="B29" t="s">
        <v>15</v>
      </c>
      <c r="C29" t="s">
        <v>22</v>
      </c>
      <c r="D29" t="s">
        <v>17</v>
      </c>
      <c r="E29" s="1">
        <v>50</v>
      </c>
      <c r="F29" s="1">
        <v>175000</v>
      </c>
      <c r="G29" s="1">
        <v>8750000</v>
      </c>
      <c r="H29" s="1">
        <v>225000</v>
      </c>
      <c r="I29" s="1">
        <v>11250000</v>
      </c>
      <c r="J29" s="1">
        <v>2500000</v>
      </c>
    </row>
    <row r="30" spans="1:10" x14ac:dyDescent="0.3">
      <c r="A30" s="2">
        <v>45686</v>
      </c>
      <c r="B30" t="s">
        <v>15</v>
      </c>
      <c r="C30" t="s">
        <v>22</v>
      </c>
      <c r="D30" t="s">
        <v>18</v>
      </c>
      <c r="E30" s="1">
        <v>70</v>
      </c>
      <c r="F30" s="1">
        <v>195000</v>
      </c>
      <c r="G30" s="1">
        <v>13650000</v>
      </c>
      <c r="H30" s="1">
        <v>210000</v>
      </c>
      <c r="I30" s="1">
        <v>14700000</v>
      </c>
      <c r="J30" s="1">
        <v>1050000</v>
      </c>
    </row>
    <row r="31" spans="1:10" x14ac:dyDescent="0.3">
      <c r="A31" s="2">
        <v>45687</v>
      </c>
      <c r="B31" t="s">
        <v>20</v>
      </c>
      <c r="C31" t="s">
        <v>22</v>
      </c>
      <c r="D31" t="s">
        <v>19</v>
      </c>
      <c r="E31" s="1">
        <v>60</v>
      </c>
      <c r="F31" s="1">
        <v>185000</v>
      </c>
      <c r="G31" s="1">
        <v>11100000</v>
      </c>
      <c r="H31" s="1">
        <v>210000</v>
      </c>
      <c r="I31" s="1">
        <v>12600000</v>
      </c>
      <c r="J31" s="1">
        <v>1500000</v>
      </c>
    </row>
    <row r="32" spans="1:10" x14ac:dyDescent="0.3">
      <c r="A32" s="2">
        <v>45688</v>
      </c>
      <c r="B32" t="s">
        <v>21</v>
      </c>
      <c r="C32" t="s">
        <v>22</v>
      </c>
      <c r="D32" t="s">
        <v>17</v>
      </c>
      <c r="E32" s="1">
        <v>70</v>
      </c>
      <c r="F32" s="1">
        <v>165000</v>
      </c>
      <c r="G32" s="1">
        <v>11550000</v>
      </c>
      <c r="H32" s="1">
        <v>225000</v>
      </c>
      <c r="I32" s="1">
        <v>15750000</v>
      </c>
      <c r="J32" s="1">
        <v>4200000</v>
      </c>
    </row>
    <row r="33" spans="1:10" x14ac:dyDescent="0.3">
      <c r="A33" s="2">
        <v>45689</v>
      </c>
      <c r="B33" t="s">
        <v>21</v>
      </c>
      <c r="C33" t="s">
        <v>22</v>
      </c>
      <c r="D33" t="s">
        <v>18</v>
      </c>
      <c r="E33" s="1">
        <v>50</v>
      </c>
      <c r="F33" s="1">
        <v>185000</v>
      </c>
      <c r="G33" s="1">
        <v>9250000</v>
      </c>
      <c r="H33" s="1">
        <v>210000</v>
      </c>
      <c r="I33" s="1">
        <v>10500000</v>
      </c>
      <c r="J33" s="1">
        <v>1250000</v>
      </c>
    </row>
    <row r="34" spans="1:10" x14ac:dyDescent="0.3">
      <c r="A34" s="2">
        <v>45690</v>
      </c>
      <c r="B34" t="s">
        <v>15</v>
      </c>
      <c r="C34" t="s">
        <v>16</v>
      </c>
      <c r="D34" t="s">
        <v>19</v>
      </c>
      <c r="E34" s="1">
        <v>40</v>
      </c>
      <c r="F34" s="1">
        <v>95000</v>
      </c>
      <c r="G34" s="1">
        <v>3800000</v>
      </c>
      <c r="H34" s="1">
        <v>210000</v>
      </c>
      <c r="I34" s="1">
        <v>8400000</v>
      </c>
      <c r="J34" s="1">
        <v>4600000</v>
      </c>
    </row>
    <row r="35" spans="1:10" x14ac:dyDescent="0.3">
      <c r="A35" s="2">
        <v>45691</v>
      </c>
      <c r="B35" t="s">
        <v>15</v>
      </c>
      <c r="C35" t="s">
        <v>16</v>
      </c>
      <c r="D35" t="s">
        <v>17</v>
      </c>
      <c r="E35" s="1">
        <v>60</v>
      </c>
      <c r="F35" s="1">
        <v>115000</v>
      </c>
      <c r="G35" s="1">
        <v>6900000</v>
      </c>
      <c r="H35" s="1">
        <v>225000</v>
      </c>
      <c r="I35" s="1">
        <v>13500000</v>
      </c>
      <c r="J35" s="1">
        <v>6600000</v>
      </c>
    </row>
    <row r="36" spans="1:10" x14ac:dyDescent="0.3">
      <c r="A36" s="2">
        <v>45692</v>
      </c>
      <c r="B36" t="s">
        <v>15</v>
      </c>
      <c r="C36" t="s">
        <v>16</v>
      </c>
      <c r="D36" t="s">
        <v>18</v>
      </c>
      <c r="E36" s="1">
        <v>50</v>
      </c>
      <c r="F36" s="1">
        <v>135000</v>
      </c>
      <c r="G36" s="1">
        <v>6750000</v>
      </c>
      <c r="H36" s="1">
        <v>210000</v>
      </c>
      <c r="I36" s="1">
        <v>10500000</v>
      </c>
      <c r="J36" s="1">
        <v>3750000</v>
      </c>
    </row>
    <row r="37" spans="1:10" x14ac:dyDescent="0.3">
      <c r="A37" s="2">
        <v>45693</v>
      </c>
      <c r="B37" t="s">
        <v>15</v>
      </c>
      <c r="C37" t="s">
        <v>16</v>
      </c>
      <c r="D37" t="s">
        <v>19</v>
      </c>
      <c r="E37" s="1">
        <v>70</v>
      </c>
      <c r="F37" s="1">
        <v>205000</v>
      </c>
      <c r="G37" s="1">
        <v>14350000</v>
      </c>
      <c r="H37" s="1">
        <v>210000</v>
      </c>
      <c r="I37" s="1">
        <v>14700000</v>
      </c>
      <c r="J37" s="1">
        <v>350000</v>
      </c>
    </row>
    <row r="38" spans="1:10" x14ac:dyDescent="0.3">
      <c r="A38" s="2">
        <v>45694</v>
      </c>
      <c r="B38" t="s">
        <v>15</v>
      </c>
      <c r="C38" t="s">
        <v>16</v>
      </c>
      <c r="D38" t="s">
        <v>17</v>
      </c>
      <c r="E38" s="1">
        <v>40</v>
      </c>
      <c r="F38" s="1">
        <v>155000</v>
      </c>
      <c r="G38" s="1">
        <v>6200000</v>
      </c>
      <c r="H38" s="1">
        <v>225000</v>
      </c>
      <c r="I38" s="1">
        <v>9000000</v>
      </c>
      <c r="J38" s="1">
        <v>2800000</v>
      </c>
    </row>
    <row r="39" spans="1:10" x14ac:dyDescent="0.3">
      <c r="A39" s="2">
        <v>45695</v>
      </c>
      <c r="B39" t="s">
        <v>15</v>
      </c>
      <c r="C39" t="s">
        <v>16</v>
      </c>
      <c r="D39" t="s">
        <v>18</v>
      </c>
      <c r="E39" s="1">
        <v>80</v>
      </c>
      <c r="F39" s="1">
        <v>175000</v>
      </c>
      <c r="G39" s="1">
        <v>14000000</v>
      </c>
      <c r="H39" s="1">
        <v>210000</v>
      </c>
      <c r="I39" s="1">
        <v>16800000</v>
      </c>
      <c r="J39" s="1">
        <v>2800000</v>
      </c>
    </row>
    <row r="40" spans="1:10" x14ac:dyDescent="0.3">
      <c r="A40" s="2">
        <v>45696</v>
      </c>
      <c r="B40" t="s">
        <v>15</v>
      </c>
      <c r="C40" t="s">
        <v>16</v>
      </c>
      <c r="D40" t="s">
        <v>19</v>
      </c>
      <c r="E40" s="1">
        <v>50</v>
      </c>
      <c r="F40" s="1">
        <v>145000</v>
      </c>
      <c r="G40" s="1">
        <v>7250000</v>
      </c>
      <c r="H40" s="1">
        <v>210000</v>
      </c>
      <c r="I40" s="1">
        <v>10500000</v>
      </c>
      <c r="J40" s="1">
        <v>3250000</v>
      </c>
    </row>
    <row r="41" spans="1:10" x14ac:dyDescent="0.3">
      <c r="A41" s="2">
        <v>45697</v>
      </c>
      <c r="B41" t="s">
        <v>20</v>
      </c>
      <c r="C41" t="s">
        <v>16</v>
      </c>
      <c r="D41" t="s">
        <v>17</v>
      </c>
      <c r="E41" s="1">
        <v>90</v>
      </c>
      <c r="F41" s="1">
        <v>205000</v>
      </c>
      <c r="G41" s="1">
        <v>18450000</v>
      </c>
      <c r="H41" s="1">
        <v>225000</v>
      </c>
      <c r="I41" s="1">
        <v>20250000</v>
      </c>
      <c r="J41" s="1">
        <v>1800000</v>
      </c>
    </row>
    <row r="42" spans="1:10" x14ac:dyDescent="0.3">
      <c r="A42" s="2">
        <v>45698</v>
      </c>
      <c r="B42" t="s">
        <v>21</v>
      </c>
      <c r="C42" t="s">
        <v>16</v>
      </c>
      <c r="D42" t="s">
        <v>18</v>
      </c>
      <c r="E42" s="1">
        <v>90</v>
      </c>
      <c r="F42" s="1">
        <v>215000</v>
      </c>
      <c r="G42" s="1">
        <v>19350000</v>
      </c>
      <c r="H42" s="1">
        <v>210000</v>
      </c>
      <c r="I42" s="1">
        <v>18900000</v>
      </c>
      <c r="J42" s="1">
        <v>-450000</v>
      </c>
    </row>
    <row r="43" spans="1:10" x14ac:dyDescent="0.3">
      <c r="A43" s="2">
        <v>45699</v>
      </c>
      <c r="B43" t="s">
        <v>21</v>
      </c>
      <c r="C43" t="s">
        <v>16</v>
      </c>
      <c r="D43" t="s">
        <v>19</v>
      </c>
      <c r="E43" s="1">
        <v>60</v>
      </c>
      <c r="F43" s="1">
        <v>185000</v>
      </c>
      <c r="G43" s="1">
        <v>11100000</v>
      </c>
      <c r="H43" s="1">
        <v>210000</v>
      </c>
      <c r="I43" s="1">
        <v>12600000</v>
      </c>
      <c r="J43" s="1">
        <v>1500000</v>
      </c>
    </row>
    <row r="44" spans="1:10" x14ac:dyDescent="0.3">
      <c r="A44" s="2">
        <v>45700</v>
      </c>
      <c r="B44" t="s">
        <v>15</v>
      </c>
      <c r="C44" t="s">
        <v>16</v>
      </c>
      <c r="D44" t="s">
        <v>17</v>
      </c>
      <c r="E44" s="1">
        <v>70</v>
      </c>
      <c r="F44" s="1">
        <v>115000</v>
      </c>
      <c r="G44" s="1">
        <v>8050000</v>
      </c>
      <c r="H44" s="1">
        <v>225000</v>
      </c>
      <c r="I44" s="1">
        <v>15750000</v>
      </c>
      <c r="J44" s="1">
        <v>7700000</v>
      </c>
    </row>
    <row r="45" spans="1:10" x14ac:dyDescent="0.3">
      <c r="A45" s="2">
        <v>45701</v>
      </c>
      <c r="B45" t="s">
        <v>15</v>
      </c>
      <c r="C45" t="s">
        <v>16</v>
      </c>
      <c r="D45" t="s">
        <v>18</v>
      </c>
      <c r="E45" s="1">
        <v>80</v>
      </c>
      <c r="F45" s="1">
        <v>115000</v>
      </c>
      <c r="G45" s="1">
        <v>9200000</v>
      </c>
      <c r="H45" s="1">
        <v>210000</v>
      </c>
      <c r="I45" s="1">
        <v>16800000</v>
      </c>
      <c r="J45" s="1">
        <v>7600000</v>
      </c>
    </row>
    <row r="46" spans="1:10" x14ac:dyDescent="0.3">
      <c r="A46" s="2">
        <v>45702</v>
      </c>
      <c r="B46" t="s">
        <v>15</v>
      </c>
      <c r="C46" t="s">
        <v>22</v>
      </c>
      <c r="D46" t="s">
        <v>19</v>
      </c>
      <c r="E46" s="1">
        <v>40</v>
      </c>
      <c r="F46" s="1">
        <v>105000</v>
      </c>
      <c r="G46" s="1">
        <v>4200000</v>
      </c>
      <c r="H46" s="1">
        <v>210000</v>
      </c>
      <c r="I46" s="1">
        <v>8400000</v>
      </c>
      <c r="J46" s="1">
        <v>4200000</v>
      </c>
    </row>
    <row r="47" spans="1:10" x14ac:dyDescent="0.3">
      <c r="A47" s="2">
        <v>45703</v>
      </c>
      <c r="B47" t="s">
        <v>15</v>
      </c>
      <c r="C47" t="s">
        <v>22</v>
      </c>
      <c r="D47" t="s">
        <v>17</v>
      </c>
      <c r="E47" s="1">
        <v>80</v>
      </c>
      <c r="F47" s="1">
        <v>135000</v>
      </c>
      <c r="G47" s="1">
        <v>10800000</v>
      </c>
      <c r="H47" s="1">
        <v>225000</v>
      </c>
      <c r="I47" s="1">
        <v>18000000</v>
      </c>
      <c r="J47" s="1">
        <v>7200000</v>
      </c>
    </row>
    <row r="48" spans="1:10" x14ac:dyDescent="0.3">
      <c r="A48" s="2">
        <v>45704</v>
      </c>
      <c r="B48" t="s">
        <v>15</v>
      </c>
      <c r="C48" t="s">
        <v>22</v>
      </c>
      <c r="D48" t="s">
        <v>18</v>
      </c>
      <c r="E48" s="1">
        <v>60</v>
      </c>
      <c r="F48" s="1">
        <v>205000</v>
      </c>
      <c r="G48" s="1">
        <v>12300000</v>
      </c>
      <c r="H48" s="1">
        <v>210000</v>
      </c>
      <c r="I48" s="1">
        <v>12600000</v>
      </c>
      <c r="J48" s="1">
        <v>300000</v>
      </c>
    </row>
    <row r="49" spans="1:10" x14ac:dyDescent="0.3">
      <c r="A49" s="2">
        <v>45705</v>
      </c>
      <c r="B49" t="s">
        <v>15</v>
      </c>
      <c r="C49" t="s">
        <v>22</v>
      </c>
      <c r="D49" t="s">
        <v>19</v>
      </c>
      <c r="E49" s="1">
        <v>70</v>
      </c>
      <c r="F49" s="1">
        <v>115000</v>
      </c>
      <c r="G49" s="1">
        <v>8050000</v>
      </c>
      <c r="H49" s="1">
        <v>210000</v>
      </c>
      <c r="I49" s="1">
        <v>14700000</v>
      </c>
      <c r="J49" s="1">
        <v>6650000</v>
      </c>
    </row>
    <row r="50" spans="1:10" x14ac:dyDescent="0.3">
      <c r="A50" s="2">
        <v>45706</v>
      </c>
      <c r="B50" t="s">
        <v>15</v>
      </c>
      <c r="C50" t="s">
        <v>23</v>
      </c>
      <c r="D50" t="s">
        <v>17</v>
      </c>
      <c r="E50" s="1">
        <v>50</v>
      </c>
      <c r="F50" s="1">
        <v>165000</v>
      </c>
      <c r="G50" s="1">
        <v>8250000</v>
      </c>
      <c r="H50" s="1">
        <v>225000</v>
      </c>
      <c r="I50" s="1">
        <v>11250000</v>
      </c>
      <c r="J50" s="1">
        <v>3000000</v>
      </c>
    </row>
    <row r="51" spans="1:10" x14ac:dyDescent="0.3">
      <c r="A51" s="2">
        <v>45707</v>
      </c>
      <c r="B51" t="s">
        <v>20</v>
      </c>
      <c r="C51" t="s">
        <v>23</v>
      </c>
      <c r="D51" t="s">
        <v>18</v>
      </c>
      <c r="E51" s="1">
        <v>70</v>
      </c>
      <c r="F51" s="1">
        <v>115000</v>
      </c>
      <c r="G51" s="1">
        <v>8050000</v>
      </c>
      <c r="H51" s="1">
        <v>210000</v>
      </c>
      <c r="I51" s="1">
        <v>14700000</v>
      </c>
      <c r="J51" s="1">
        <v>6650000</v>
      </c>
    </row>
    <row r="52" spans="1:10" x14ac:dyDescent="0.3">
      <c r="A52" s="2">
        <v>45708</v>
      </c>
      <c r="B52" t="s">
        <v>21</v>
      </c>
      <c r="C52" t="s">
        <v>23</v>
      </c>
      <c r="D52" t="s">
        <v>19</v>
      </c>
      <c r="E52" s="1">
        <v>60</v>
      </c>
      <c r="F52" s="1">
        <v>165000</v>
      </c>
      <c r="G52" s="1">
        <v>9900000</v>
      </c>
      <c r="H52" s="1">
        <v>210000</v>
      </c>
      <c r="I52" s="1">
        <v>12600000</v>
      </c>
      <c r="J52" s="1">
        <v>2700000</v>
      </c>
    </row>
    <row r="53" spans="1:10" x14ac:dyDescent="0.3">
      <c r="A53" s="2">
        <v>45709</v>
      </c>
      <c r="B53" t="s">
        <v>21</v>
      </c>
      <c r="C53" t="s">
        <v>23</v>
      </c>
      <c r="D53" t="s">
        <v>17</v>
      </c>
      <c r="E53" s="1">
        <v>50</v>
      </c>
      <c r="F53" s="1">
        <v>95000</v>
      </c>
      <c r="G53" s="1">
        <v>4750000</v>
      </c>
      <c r="H53" s="1">
        <v>225000</v>
      </c>
      <c r="I53" s="1">
        <v>11250000</v>
      </c>
      <c r="J53" s="1">
        <v>6500000</v>
      </c>
    </row>
    <row r="54" spans="1:10" x14ac:dyDescent="0.3">
      <c r="A54" s="2">
        <v>45710</v>
      </c>
      <c r="B54" t="s">
        <v>15</v>
      </c>
      <c r="C54" t="s">
        <v>16</v>
      </c>
      <c r="D54" t="s">
        <v>18</v>
      </c>
      <c r="E54" s="1">
        <v>40</v>
      </c>
      <c r="F54" s="1">
        <v>205000</v>
      </c>
      <c r="G54" s="1">
        <v>8200000</v>
      </c>
      <c r="H54" s="1">
        <v>210000</v>
      </c>
      <c r="I54" s="1">
        <v>8400000</v>
      </c>
      <c r="J54" s="1">
        <v>200000</v>
      </c>
    </row>
    <row r="55" spans="1:10" x14ac:dyDescent="0.3">
      <c r="A55" s="2">
        <v>45711</v>
      </c>
      <c r="B55" t="s">
        <v>15</v>
      </c>
      <c r="C55" t="s">
        <v>16</v>
      </c>
      <c r="D55" t="s">
        <v>19</v>
      </c>
      <c r="E55" s="1">
        <v>90</v>
      </c>
      <c r="F55" s="1">
        <v>145000</v>
      </c>
      <c r="G55" s="1">
        <v>13050000</v>
      </c>
      <c r="H55" s="1">
        <v>210000</v>
      </c>
      <c r="I55" s="1">
        <v>18900000</v>
      </c>
      <c r="J55" s="1">
        <v>5850000</v>
      </c>
    </row>
    <row r="56" spans="1:10" x14ac:dyDescent="0.3">
      <c r="A56" s="2">
        <v>45712</v>
      </c>
      <c r="B56" t="s">
        <v>15</v>
      </c>
      <c r="C56" t="s">
        <v>16</v>
      </c>
      <c r="D56" t="s">
        <v>17</v>
      </c>
      <c r="E56" s="1">
        <v>50</v>
      </c>
      <c r="F56" s="1">
        <v>175000</v>
      </c>
      <c r="G56" s="1">
        <v>8750000</v>
      </c>
      <c r="H56" s="1">
        <v>225000</v>
      </c>
      <c r="I56" s="1">
        <v>11250000</v>
      </c>
      <c r="J56" s="1">
        <v>2500000</v>
      </c>
    </row>
    <row r="57" spans="1:10" x14ac:dyDescent="0.3">
      <c r="A57" s="2">
        <v>45713</v>
      </c>
      <c r="B57" t="s">
        <v>15</v>
      </c>
      <c r="C57" t="s">
        <v>16</v>
      </c>
      <c r="D57" t="s">
        <v>18</v>
      </c>
      <c r="E57" s="1">
        <v>40</v>
      </c>
      <c r="F57" s="1">
        <v>175000</v>
      </c>
      <c r="G57" s="1">
        <v>7000000</v>
      </c>
      <c r="H57" s="1">
        <v>210000</v>
      </c>
      <c r="I57" s="1">
        <v>8400000</v>
      </c>
      <c r="J57" s="1">
        <v>1400000</v>
      </c>
    </row>
    <row r="58" spans="1:10" x14ac:dyDescent="0.3">
      <c r="A58" s="2">
        <v>45714</v>
      </c>
      <c r="B58" t="s">
        <v>15</v>
      </c>
      <c r="C58" t="s">
        <v>16</v>
      </c>
      <c r="D58" t="s">
        <v>19</v>
      </c>
      <c r="E58" s="1">
        <v>40</v>
      </c>
      <c r="F58" s="1">
        <v>115000</v>
      </c>
      <c r="G58" s="1">
        <v>4600000</v>
      </c>
      <c r="H58" s="1">
        <v>210000</v>
      </c>
      <c r="I58" s="1">
        <v>8400000</v>
      </c>
      <c r="J58" s="1">
        <v>3800000</v>
      </c>
    </row>
    <row r="59" spans="1:10" x14ac:dyDescent="0.3">
      <c r="A59" s="2">
        <v>45715</v>
      </c>
      <c r="B59" t="s">
        <v>15</v>
      </c>
      <c r="C59" t="s">
        <v>16</v>
      </c>
      <c r="D59" t="s">
        <v>17</v>
      </c>
      <c r="E59" s="1">
        <v>80</v>
      </c>
      <c r="F59" s="1">
        <v>155000</v>
      </c>
      <c r="G59" s="1">
        <v>12400000</v>
      </c>
      <c r="H59" s="1">
        <v>225000</v>
      </c>
      <c r="I59" s="1">
        <v>18000000</v>
      </c>
      <c r="J59" s="1">
        <v>5600000</v>
      </c>
    </row>
    <row r="60" spans="1:10" x14ac:dyDescent="0.3">
      <c r="A60" s="2">
        <v>45716</v>
      </c>
      <c r="B60" t="s">
        <v>15</v>
      </c>
      <c r="C60" t="s">
        <v>16</v>
      </c>
      <c r="D60" t="s">
        <v>18</v>
      </c>
      <c r="E60" s="1">
        <v>60</v>
      </c>
      <c r="F60" s="1">
        <v>165000</v>
      </c>
      <c r="G60" s="1">
        <v>9900000</v>
      </c>
      <c r="H60" s="1">
        <v>210000</v>
      </c>
      <c r="I60" s="1">
        <v>12600000</v>
      </c>
      <c r="J60" s="1">
        <v>2700000</v>
      </c>
    </row>
    <row r="61" spans="1:10" x14ac:dyDescent="0.3">
      <c r="A61" s="2">
        <v>45717</v>
      </c>
      <c r="B61" t="s">
        <v>20</v>
      </c>
      <c r="C61" t="s">
        <v>16</v>
      </c>
      <c r="D61" t="s">
        <v>19</v>
      </c>
      <c r="E61" s="1">
        <v>70</v>
      </c>
      <c r="F61" s="1">
        <v>165000</v>
      </c>
      <c r="G61" s="1">
        <v>11550000</v>
      </c>
      <c r="H61" s="1">
        <v>210000</v>
      </c>
      <c r="I61" s="1">
        <v>14700000</v>
      </c>
      <c r="J61" s="1">
        <v>3150000</v>
      </c>
    </row>
    <row r="62" spans="1:10" x14ac:dyDescent="0.3">
      <c r="A62" s="2">
        <v>45718</v>
      </c>
      <c r="B62" t="s">
        <v>21</v>
      </c>
      <c r="C62" t="s">
        <v>16</v>
      </c>
      <c r="D62" t="s">
        <v>17</v>
      </c>
      <c r="E62" s="1">
        <v>50</v>
      </c>
      <c r="F62" s="1">
        <v>195000</v>
      </c>
      <c r="G62" s="1">
        <v>9750000</v>
      </c>
      <c r="H62" s="1">
        <v>225000</v>
      </c>
      <c r="I62" s="1">
        <v>11250000</v>
      </c>
      <c r="J62" s="1">
        <v>1500000</v>
      </c>
    </row>
    <row r="63" spans="1:10" x14ac:dyDescent="0.3">
      <c r="A63" s="2">
        <v>45719</v>
      </c>
      <c r="B63" t="s">
        <v>21</v>
      </c>
      <c r="C63" t="s">
        <v>16</v>
      </c>
      <c r="D63" t="s">
        <v>18</v>
      </c>
      <c r="E63" s="1">
        <v>70</v>
      </c>
      <c r="F63" s="1">
        <v>135000</v>
      </c>
      <c r="G63" s="1">
        <v>9450000</v>
      </c>
      <c r="H63" s="1">
        <v>210000</v>
      </c>
      <c r="I63" s="1">
        <v>14700000</v>
      </c>
      <c r="J63" s="1">
        <v>5250000</v>
      </c>
    </row>
    <row r="64" spans="1:10" x14ac:dyDescent="0.3">
      <c r="A64" s="2">
        <v>45720</v>
      </c>
      <c r="B64" t="s">
        <v>15</v>
      </c>
      <c r="C64" t="s">
        <v>16</v>
      </c>
      <c r="D64" t="s">
        <v>19</v>
      </c>
      <c r="E64" s="1">
        <v>50</v>
      </c>
      <c r="F64" s="1">
        <v>135000</v>
      </c>
      <c r="G64" s="1">
        <v>6750000</v>
      </c>
      <c r="H64" s="1">
        <v>210000</v>
      </c>
      <c r="I64" s="1">
        <v>10500000</v>
      </c>
      <c r="J64" s="1">
        <v>3750000</v>
      </c>
    </row>
    <row r="65" spans="1:10" x14ac:dyDescent="0.3">
      <c r="A65" s="2">
        <v>45721</v>
      </c>
      <c r="B65" t="s">
        <v>15</v>
      </c>
      <c r="C65" t="s">
        <v>16</v>
      </c>
      <c r="D65" t="s">
        <v>17</v>
      </c>
      <c r="E65" s="1">
        <v>60</v>
      </c>
      <c r="F65" s="1">
        <v>115000</v>
      </c>
      <c r="G65" s="1">
        <v>6900000</v>
      </c>
      <c r="H65" s="1">
        <v>225000</v>
      </c>
      <c r="I65" s="1">
        <v>13500000</v>
      </c>
      <c r="J65" s="1">
        <v>6600000</v>
      </c>
    </row>
    <row r="66" spans="1:10" x14ac:dyDescent="0.3">
      <c r="A66" s="2">
        <v>45722</v>
      </c>
      <c r="B66" t="s">
        <v>15</v>
      </c>
      <c r="C66" t="s">
        <v>22</v>
      </c>
      <c r="D66" t="s">
        <v>18</v>
      </c>
      <c r="E66" s="1">
        <v>80</v>
      </c>
      <c r="F66" s="1">
        <v>125000</v>
      </c>
      <c r="G66" s="1">
        <v>10000000</v>
      </c>
      <c r="H66" s="1">
        <v>210000</v>
      </c>
      <c r="I66" s="1">
        <v>16800000</v>
      </c>
      <c r="J66" s="1">
        <v>6800000</v>
      </c>
    </row>
    <row r="67" spans="1:10" x14ac:dyDescent="0.3">
      <c r="A67" s="2">
        <v>45723</v>
      </c>
      <c r="B67" t="s">
        <v>15</v>
      </c>
      <c r="C67" t="s">
        <v>22</v>
      </c>
      <c r="D67" t="s">
        <v>19</v>
      </c>
      <c r="E67" s="1">
        <v>40</v>
      </c>
      <c r="F67" s="1">
        <v>115000</v>
      </c>
      <c r="G67" s="1">
        <v>4600000</v>
      </c>
      <c r="H67" s="1">
        <v>210000</v>
      </c>
      <c r="I67" s="1">
        <v>8400000</v>
      </c>
      <c r="J67" s="1">
        <v>3800000</v>
      </c>
    </row>
    <row r="68" spans="1:10" x14ac:dyDescent="0.3">
      <c r="A68" s="2">
        <v>45724</v>
      </c>
      <c r="B68" t="s">
        <v>15</v>
      </c>
      <c r="C68" t="s">
        <v>22</v>
      </c>
      <c r="D68" t="s">
        <v>17</v>
      </c>
      <c r="E68" s="1">
        <v>70</v>
      </c>
      <c r="F68" s="1">
        <v>205000</v>
      </c>
      <c r="G68" s="1">
        <v>14350000</v>
      </c>
      <c r="H68" s="1">
        <v>225000</v>
      </c>
      <c r="I68" s="1">
        <v>15750000</v>
      </c>
      <c r="J68" s="1">
        <v>1400000</v>
      </c>
    </row>
    <row r="69" spans="1:10" x14ac:dyDescent="0.3">
      <c r="A69" s="2">
        <v>45725</v>
      </c>
      <c r="B69" t="s">
        <v>15</v>
      </c>
      <c r="C69" t="s">
        <v>22</v>
      </c>
      <c r="D69" t="s">
        <v>18</v>
      </c>
      <c r="E69" s="1">
        <v>90</v>
      </c>
      <c r="F69" s="1">
        <v>195000</v>
      </c>
      <c r="G69" s="1">
        <v>17550000</v>
      </c>
      <c r="H69" s="1">
        <v>210000</v>
      </c>
      <c r="I69" s="1">
        <v>18900000</v>
      </c>
      <c r="J69" s="1">
        <v>1350000</v>
      </c>
    </row>
    <row r="70" spans="1:10" x14ac:dyDescent="0.3">
      <c r="A70" s="2">
        <v>45726</v>
      </c>
      <c r="B70" t="s">
        <v>15</v>
      </c>
      <c r="C70" t="s">
        <v>23</v>
      </c>
      <c r="D70" t="s">
        <v>19</v>
      </c>
      <c r="E70" s="1">
        <v>60</v>
      </c>
      <c r="F70" s="1">
        <v>205000</v>
      </c>
      <c r="G70" s="1">
        <v>12300000</v>
      </c>
      <c r="H70" s="1">
        <v>210000</v>
      </c>
      <c r="I70" s="1">
        <v>12600000</v>
      </c>
      <c r="J70" s="1">
        <v>300000</v>
      </c>
    </row>
    <row r="71" spans="1:10" x14ac:dyDescent="0.3">
      <c r="A71" s="2">
        <v>45727</v>
      </c>
      <c r="B71" t="s">
        <v>20</v>
      </c>
      <c r="C71" t="s">
        <v>23</v>
      </c>
      <c r="D71" t="s">
        <v>17</v>
      </c>
      <c r="E71" s="1">
        <v>70</v>
      </c>
      <c r="F71" s="1">
        <v>215000</v>
      </c>
      <c r="G71" s="1">
        <v>15050000</v>
      </c>
      <c r="H71" s="1">
        <v>225000</v>
      </c>
      <c r="I71" s="1">
        <v>15750000</v>
      </c>
      <c r="J71" s="1">
        <v>700000</v>
      </c>
    </row>
    <row r="72" spans="1:10" x14ac:dyDescent="0.3">
      <c r="A72" s="2">
        <v>45728</v>
      </c>
      <c r="B72" t="s">
        <v>21</v>
      </c>
      <c r="C72" t="s">
        <v>23</v>
      </c>
      <c r="D72" t="s">
        <v>18</v>
      </c>
      <c r="E72" s="1">
        <v>80</v>
      </c>
      <c r="F72" s="1">
        <v>105000</v>
      </c>
      <c r="G72" s="1">
        <v>8400000</v>
      </c>
      <c r="H72" s="1">
        <v>210000</v>
      </c>
      <c r="I72" s="1">
        <v>16800000</v>
      </c>
      <c r="J72" s="1">
        <v>8400000</v>
      </c>
    </row>
    <row r="73" spans="1:10" x14ac:dyDescent="0.3">
      <c r="A73" s="2">
        <v>45729</v>
      </c>
      <c r="B73" t="s">
        <v>21</v>
      </c>
      <c r="C73" t="s">
        <v>23</v>
      </c>
      <c r="D73" t="s">
        <v>19</v>
      </c>
      <c r="E73" s="1">
        <v>40</v>
      </c>
      <c r="F73" s="1">
        <v>165000</v>
      </c>
      <c r="G73" s="1">
        <v>6600000</v>
      </c>
      <c r="H73" s="1">
        <v>210000</v>
      </c>
      <c r="I73" s="1">
        <v>8400000</v>
      </c>
      <c r="J73" s="1">
        <v>1800000</v>
      </c>
    </row>
    <row r="74" spans="1:10" x14ac:dyDescent="0.3">
      <c r="A74" s="2">
        <v>45730</v>
      </c>
      <c r="B74" t="s">
        <v>15</v>
      </c>
      <c r="C74" t="s">
        <v>16</v>
      </c>
      <c r="D74" t="s">
        <v>17</v>
      </c>
      <c r="E74" s="1">
        <v>50</v>
      </c>
      <c r="F74" s="1">
        <v>155000</v>
      </c>
      <c r="G74" s="1">
        <v>7750000</v>
      </c>
      <c r="H74" s="1">
        <v>225000</v>
      </c>
      <c r="I74" s="1">
        <v>11250000</v>
      </c>
      <c r="J74" s="1">
        <v>3500000</v>
      </c>
    </row>
    <row r="75" spans="1:10" x14ac:dyDescent="0.3">
      <c r="A75" s="2">
        <v>45731</v>
      </c>
      <c r="B75" t="s">
        <v>15</v>
      </c>
      <c r="C75" t="s">
        <v>16</v>
      </c>
      <c r="D75" t="s">
        <v>18</v>
      </c>
      <c r="E75" s="1">
        <v>70</v>
      </c>
      <c r="F75" s="1">
        <v>135000</v>
      </c>
      <c r="G75" s="1">
        <v>9450000</v>
      </c>
      <c r="H75" s="1">
        <v>210000</v>
      </c>
      <c r="I75" s="1">
        <v>14700000</v>
      </c>
      <c r="J75" s="1">
        <v>5250000</v>
      </c>
    </row>
    <row r="76" spans="1:10" x14ac:dyDescent="0.3">
      <c r="A76" s="2">
        <v>45732</v>
      </c>
      <c r="B76" t="s">
        <v>15</v>
      </c>
      <c r="C76" t="s">
        <v>16</v>
      </c>
      <c r="D76" t="s">
        <v>19</v>
      </c>
      <c r="E76" s="1">
        <v>60</v>
      </c>
      <c r="F76" s="1">
        <v>105000</v>
      </c>
      <c r="G76" s="1">
        <v>6300000</v>
      </c>
      <c r="H76" s="1">
        <v>210000</v>
      </c>
      <c r="I76" s="1">
        <v>12600000</v>
      </c>
      <c r="J76" s="1">
        <v>6300000</v>
      </c>
    </row>
    <row r="77" spans="1:10" x14ac:dyDescent="0.3">
      <c r="A77" s="2">
        <v>45733</v>
      </c>
      <c r="B77" t="s">
        <v>15</v>
      </c>
      <c r="C77" t="s">
        <v>16</v>
      </c>
      <c r="D77" t="s">
        <v>17</v>
      </c>
      <c r="E77" s="1">
        <v>70</v>
      </c>
      <c r="F77" s="1">
        <v>125000</v>
      </c>
      <c r="G77" s="1">
        <v>8750000</v>
      </c>
      <c r="H77" s="1">
        <v>225000</v>
      </c>
      <c r="I77" s="1">
        <v>15750000</v>
      </c>
      <c r="J77" s="1">
        <v>7000000</v>
      </c>
    </row>
    <row r="78" spans="1:10" x14ac:dyDescent="0.3">
      <c r="A78" s="2">
        <v>45734</v>
      </c>
      <c r="B78" t="s">
        <v>15</v>
      </c>
      <c r="C78" t="s">
        <v>16</v>
      </c>
      <c r="D78" t="s">
        <v>18</v>
      </c>
      <c r="E78" s="1">
        <v>60</v>
      </c>
      <c r="F78" s="1">
        <v>205000</v>
      </c>
      <c r="G78" s="1">
        <v>12300000</v>
      </c>
      <c r="H78" s="1">
        <v>210000</v>
      </c>
      <c r="I78" s="1">
        <v>12600000</v>
      </c>
      <c r="J78" s="1">
        <v>300000</v>
      </c>
    </row>
    <row r="79" spans="1:10" x14ac:dyDescent="0.3">
      <c r="A79" s="2">
        <v>45735</v>
      </c>
      <c r="B79" t="s">
        <v>15</v>
      </c>
      <c r="C79" t="s">
        <v>16</v>
      </c>
      <c r="D79" t="s">
        <v>19</v>
      </c>
      <c r="E79" s="1">
        <v>70</v>
      </c>
      <c r="F79" s="1">
        <v>105000</v>
      </c>
      <c r="G79" s="1">
        <v>7350000</v>
      </c>
      <c r="H79" s="1">
        <v>210000</v>
      </c>
      <c r="I79" s="1">
        <v>14700000</v>
      </c>
      <c r="J79" s="1">
        <v>7350000</v>
      </c>
    </row>
    <row r="80" spans="1:10" x14ac:dyDescent="0.3">
      <c r="A80" s="2">
        <v>45736</v>
      </c>
      <c r="B80" t="s">
        <v>15</v>
      </c>
      <c r="C80" t="s">
        <v>16</v>
      </c>
      <c r="D80" t="s">
        <v>17</v>
      </c>
      <c r="E80" s="1">
        <v>70</v>
      </c>
      <c r="F80" s="1">
        <v>145000</v>
      </c>
      <c r="G80" s="1">
        <v>10150000</v>
      </c>
      <c r="H80" s="1">
        <v>225000</v>
      </c>
      <c r="I80" s="1">
        <v>15750000</v>
      </c>
      <c r="J80" s="1">
        <v>5600000</v>
      </c>
    </row>
    <row r="81" spans="1:10" x14ac:dyDescent="0.3">
      <c r="A81" s="2">
        <v>45737</v>
      </c>
      <c r="B81" t="s">
        <v>20</v>
      </c>
      <c r="C81" t="s">
        <v>16</v>
      </c>
      <c r="D81" t="s">
        <v>18</v>
      </c>
      <c r="E81" s="1">
        <v>70</v>
      </c>
      <c r="F81" s="1">
        <v>135000</v>
      </c>
      <c r="G81" s="1">
        <v>9450000</v>
      </c>
      <c r="H81" s="1">
        <v>210000</v>
      </c>
      <c r="I81" s="1">
        <v>14700000</v>
      </c>
      <c r="J81" s="1">
        <v>5250000</v>
      </c>
    </row>
    <row r="82" spans="1:10" x14ac:dyDescent="0.3">
      <c r="A82" s="2">
        <v>45738</v>
      </c>
      <c r="B82" t="s">
        <v>21</v>
      </c>
      <c r="C82" t="s">
        <v>16</v>
      </c>
      <c r="D82" t="s">
        <v>19</v>
      </c>
      <c r="E82" s="1">
        <v>80</v>
      </c>
      <c r="F82" s="1">
        <v>195000</v>
      </c>
      <c r="G82" s="1">
        <v>15600000</v>
      </c>
      <c r="H82" s="1">
        <v>210000</v>
      </c>
      <c r="I82" s="1">
        <v>16800000</v>
      </c>
      <c r="J82" s="1">
        <v>1200000</v>
      </c>
    </row>
    <row r="83" spans="1:10" x14ac:dyDescent="0.3">
      <c r="A83" s="2">
        <v>45739</v>
      </c>
      <c r="B83" t="s">
        <v>21</v>
      </c>
      <c r="C83" t="s">
        <v>16</v>
      </c>
      <c r="D83" t="s">
        <v>17</v>
      </c>
      <c r="E83" s="1">
        <v>50</v>
      </c>
      <c r="F83" s="1">
        <v>125000</v>
      </c>
      <c r="G83" s="1">
        <v>6250000</v>
      </c>
      <c r="H83" s="1">
        <v>225000</v>
      </c>
      <c r="I83" s="1">
        <v>11250000</v>
      </c>
      <c r="J83" s="1">
        <v>5000000</v>
      </c>
    </row>
    <row r="84" spans="1:10" x14ac:dyDescent="0.3">
      <c r="A84" s="2">
        <v>45740</v>
      </c>
      <c r="B84" t="s">
        <v>15</v>
      </c>
      <c r="C84" t="s">
        <v>16</v>
      </c>
      <c r="D84" t="s">
        <v>18</v>
      </c>
      <c r="E84" s="1">
        <v>70</v>
      </c>
      <c r="F84" s="1">
        <v>155000</v>
      </c>
      <c r="G84" s="1">
        <v>10850000</v>
      </c>
      <c r="H84" s="1">
        <v>210000</v>
      </c>
      <c r="I84" s="1">
        <v>14700000</v>
      </c>
      <c r="J84" s="1">
        <v>3850000</v>
      </c>
    </row>
    <row r="85" spans="1:10" x14ac:dyDescent="0.3">
      <c r="A85" s="2">
        <v>45741</v>
      </c>
      <c r="B85" t="s">
        <v>15</v>
      </c>
      <c r="C85" t="s">
        <v>16</v>
      </c>
      <c r="D85" t="s">
        <v>19</v>
      </c>
      <c r="E85" s="1">
        <v>50</v>
      </c>
      <c r="F85" s="1">
        <v>105000</v>
      </c>
      <c r="G85" s="1">
        <v>5250000</v>
      </c>
      <c r="H85" s="1">
        <v>210000</v>
      </c>
      <c r="I85" s="1">
        <v>10500000</v>
      </c>
      <c r="J85" s="1">
        <v>5250000</v>
      </c>
    </row>
    <row r="86" spans="1:10" x14ac:dyDescent="0.3">
      <c r="A86" s="2">
        <v>45742</v>
      </c>
      <c r="B86" t="s">
        <v>15</v>
      </c>
      <c r="C86" t="s">
        <v>22</v>
      </c>
      <c r="D86" t="s">
        <v>17</v>
      </c>
      <c r="E86" s="1">
        <v>50</v>
      </c>
      <c r="F86" s="1">
        <v>195000</v>
      </c>
      <c r="G86" s="1">
        <v>9750000</v>
      </c>
      <c r="H86" s="1">
        <v>225000</v>
      </c>
      <c r="I86" s="1">
        <v>11250000</v>
      </c>
      <c r="J86" s="1">
        <v>1500000</v>
      </c>
    </row>
    <row r="87" spans="1:10" x14ac:dyDescent="0.3">
      <c r="A87" s="2">
        <v>45743</v>
      </c>
      <c r="B87" t="s">
        <v>15</v>
      </c>
      <c r="C87" t="s">
        <v>22</v>
      </c>
      <c r="D87" t="s">
        <v>18</v>
      </c>
      <c r="E87" s="1">
        <v>40</v>
      </c>
      <c r="F87" s="1">
        <v>125000</v>
      </c>
      <c r="G87" s="1">
        <v>5000000</v>
      </c>
      <c r="H87" s="1">
        <v>210000</v>
      </c>
      <c r="I87" s="1">
        <v>8400000</v>
      </c>
      <c r="J87" s="1">
        <v>3400000</v>
      </c>
    </row>
    <row r="88" spans="1:10" x14ac:dyDescent="0.3">
      <c r="A88" s="2">
        <v>45744</v>
      </c>
      <c r="B88" t="s">
        <v>15</v>
      </c>
      <c r="C88" t="s">
        <v>22</v>
      </c>
      <c r="D88" t="s">
        <v>19</v>
      </c>
      <c r="E88" s="1">
        <v>50</v>
      </c>
      <c r="F88" s="1">
        <v>205000</v>
      </c>
      <c r="G88" s="1">
        <v>10250000</v>
      </c>
      <c r="H88" s="1">
        <v>210000</v>
      </c>
      <c r="I88" s="1">
        <v>10500000</v>
      </c>
      <c r="J88" s="1">
        <v>250000</v>
      </c>
    </row>
    <row r="89" spans="1:10" x14ac:dyDescent="0.3">
      <c r="A89" s="2">
        <v>45745</v>
      </c>
      <c r="B89" t="s">
        <v>15</v>
      </c>
      <c r="C89" t="s">
        <v>22</v>
      </c>
      <c r="D89" t="s">
        <v>17</v>
      </c>
      <c r="E89" s="1">
        <v>60</v>
      </c>
      <c r="F89" s="1">
        <v>105000</v>
      </c>
      <c r="G89" s="1">
        <v>6300000</v>
      </c>
      <c r="H89" s="1">
        <v>225000</v>
      </c>
      <c r="I89" s="1">
        <v>13500000</v>
      </c>
      <c r="J89" s="1">
        <v>7200000</v>
      </c>
    </row>
    <row r="90" spans="1:10" x14ac:dyDescent="0.3">
      <c r="A90" s="2">
        <v>45746</v>
      </c>
      <c r="B90" t="s">
        <v>15</v>
      </c>
      <c r="C90" t="s">
        <v>23</v>
      </c>
      <c r="D90" t="s">
        <v>18</v>
      </c>
      <c r="E90" s="1">
        <v>70</v>
      </c>
      <c r="F90" s="1">
        <v>195000</v>
      </c>
      <c r="G90" s="1">
        <v>13650000</v>
      </c>
      <c r="H90" s="1">
        <v>210000</v>
      </c>
      <c r="I90" s="1">
        <v>14700000</v>
      </c>
      <c r="J90" s="1">
        <v>1050000</v>
      </c>
    </row>
    <row r="91" spans="1:10" x14ac:dyDescent="0.3">
      <c r="A91" s="2">
        <v>45747</v>
      </c>
      <c r="B91" t="s">
        <v>20</v>
      </c>
      <c r="C91" t="s">
        <v>23</v>
      </c>
      <c r="D91" t="s">
        <v>19</v>
      </c>
      <c r="E91" s="1">
        <v>40</v>
      </c>
      <c r="F91" s="1">
        <v>105000</v>
      </c>
      <c r="G91" s="1">
        <v>4200000</v>
      </c>
      <c r="H91" s="1">
        <v>210000</v>
      </c>
      <c r="I91" s="1">
        <v>8400000</v>
      </c>
      <c r="J91" s="1">
        <v>4200000</v>
      </c>
    </row>
    <row r="92" spans="1:10" x14ac:dyDescent="0.3">
      <c r="A92" s="2">
        <v>45748</v>
      </c>
      <c r="B92" t="s">
        <v>21</v>
      </c>
      <c r="C92" t="s">
        <v>23</v>
      </c>
      <c r="D92" t="s">
        <v>17</v>
      </c>
      <c r="E92" s="1">
        <v>80</v>
      </c>
      <c r="F92" s="1">
        <v>95000</v>
      </c>
      <c r="G92" s="1">
        <v>7600000</v>
      </c>
      <c r="H92" s="1">
        <v>225000</v>
      </c>
      <c r="I92" s="1">
        <v>18000000</v>
      </c>
      <c r="J92" s="1">
        <v>10400000</v>
      </c>
    </row>
    <row r="93" spans="1:10" x14ac:dyDescent="0.3">
      <c r="A93" s="2">
        <v>45749</v>
      </c>
      <c r="B93" t="s">
        <v>21</v>
      </c>
      <c r="C93" t="s">
        <v>23</v>
      </c>
      <c r="D93" t="s">
        <v>18</v>
      </c>
      <c r="E93" s="1">
        <v>80</v>
      </c>
      <c r="F93" s="1">
        <v>195000</v>
      </c>
      <c r="G93" s="1">
        <v>15600000</v>
      </c>
      <c r="H93" s="1">
        <v>210000</v>
      </c>
      <c r="I93" s="1">
        <v>16800000</v>
      </c>
      <c r="J93" s="1">
        <v>1200000</v>
      </c>
    </row>
    <row r="94" spans="1:10" x14ac:dyDescent="0.3">
      <c r="A94" s="2">
        <v>45750</v>
      </c>
      <c r="B94" t="s">
        <v>15</v>
      </c>
      <c r="C94" t="s">
        <v>16</v>
      </c>
      <c r="D94" t="s">
        <v>19</v>
      </c>
      <c r="E94" s="1">
        <v>60</v>
      </c>
      <c r="F94" s="1">
        <v>95000</v>
      </c>
      <c r="G94" s="1">
        <v>5700000</v>
      </c>
      <c r="H94" s="1">
        <v>210000</v>
      </c>
      <c r="I94" s="1">
        <v>12600000</v>
      </c>
      <c r="J94" s="1">
        <v>6900000</v>
      </c>
    </row>
    <row r="95" spans="1:10" x14ac:dyDescent="0.3">
      <c r="A95" s="2">
        <v>45751</v>
      </c>
      <c r="B95" t="s">
        <v>15</v>
      </c>
      <c r="C95" t="s">
        <v>16</v>
      </c>
      <c r="D95" t="s">
        <v>17</v>
      </c>
      <c r="E95" s="1">
        <v>40</v>
      </c>
      <c r="F95" s="1">
        <v>155000</v>
      </c>
      <c r="G95" s="1">
        <v>6200000</v>
      </c>
      <c r="H95" s="1">
        <v>225000</v>
      </c>
      <c r="I95" s="1">
        <v>9000000</v>
      </c>
      <c r="J95" s="1">
        <v>2800000</v>
      </c>
    </row>
    <row r="96" spans="1:10" x14ac:dyDescent="0.3">
      <c r="A96" s="2">
        <v>45752</v>
      </c>
      <c r="B96" t="s">
        <v>15</v>
      </c>
      <c r="C96" t="s">
        <v>16</v>
      </c>
      <c r="D96" t="s">
        <v>18</v>
      </c>
      <c r="E96" s="1">
        <v>80</v>
      </c>
      <c r="F96" s="1">
        <v>125000</v>
      </c>
      <c r="G96" s="1">
        <v>10000000</v>
      </c>
      <c r="H96" s="1">
        <v>210000</v>
      </c>
      <c r="I96" s="1">
        <v>16800000</v>
      </c>
      <c r="J96" s="1">
        <v>6800000</v>
      </c>
    </row>
    <row r="97" spans="1:10" x14ac:dyDescent="0.3">
      <c r="A97" s="2">
        <v>45753</v>
      </c>
      <c r="B97" t="s">
        <v>15</v>
      </c>
      <c r="C97" t="s">
        <v>16</v>
      </c>
      <c r="D97" t="s">
        <v>19</v>
      </c>
      <c r="E97" s="1">
        <v>50</v>
      </c>
      <c r="F97" s="1">
        <v>165000</v>
      </c>
      <c r="G97" s="1">
        <v>8250000</v>
      </c>
      <c r="H97" s="1">
        <v>210000</v>
      </c>
      <c r="I97" s="1">
        <v>10500000</v>
      </c>
      <c r="J97" s="1">
        <v>2250000</v>
      </c>
    </row>
    <row r="98" spans="1:10" x14ac:dyDescent="0.3">
      <c r="A98" s="2">
        <v>45754</v>
      </c>
      <c r="B98" t="s">
        <v>15</v>
      </c>
      <c r="C98" t="s">
        <v>16</v>
      </c>
      <c r="D98" t="s">
        <v>17</v>
      </c>
      <c r="E98" s="1">
        <v>90</v>
      </c>
      <c r="F98" s="1">
        <v>195000</v>
      </c>
      <c r="G98" s="1">
        <v>17550000</v>
      </c>
      <c r="H98" s="1">
        <v>225000</v>
      </c>
      <c r="I98" s="1">
        <v>20250000</v>
      </c>
      <c r="J98" s="1">
        <v>2700000</v>
      </c>
    </row>
    <row r="99" spans="1:10" x14ac:dyDescent="0.3">
      <c r="A99" s="2">
        <v>45755</v>
      </c>
      <c r="B99" t="s">
        <v>15</v>
      </c>
      <c r="C99" t="s">
        <v>16</v>
      </c>
      <c r="D99" t="s">
        <v>18</v>
      </c>
      <c r="E99" s="1">
        <v>90</v>
      </c>
      <c r="F99" s="1">
        <v>95000</v>
      </c>
      <c r="G99" s="1">
        <v>8550000</v>
      </c>
      <c r="H99" s="1">
        <v>210000</v>
      </c>
      <c r="I99" s="1">
        <v>18900000</v>
      </c>
      <c r="J99" s="1">
        <v>10350000</v>
      </c>
    </row>
    <row r="100" spans="1:10" x14ac:dyDescent="0.3">
      <c r="A100" s="2">
        <v>45756</v>
      </c>
      <c r="B100" t="s">
        <v>15</v>
      </c>
      <c r="C100" t="s">
        <v>16</v>
      </c>
      <c r="D100" t="s">
        <v>19</v>
      </c>
      <c r="E100" s="1">
        <v>60</v>
      </c>
      <c r="F100" s="1">
        <v>105000</v>
      </c>
      <c r="G100" s="1">
        <v>6300000</v>
      </c>
      <c r="H100" s="1">
        <v>210000</v>
      </c>
      <c r="I100" s="1">
        <v>12600000</v>
      </c>
      <c r="J100" s="1">
        <v>6300000</v>
      </c>
    </row>
    <row r="101" spans="1:10" x14ac:dyDescent="0.3">
      <c r="A101" s="2">
        <v>45757</v>
      </c>
      <c r="B101" t="s">
        <v>20</v>
      </c>
      <c r="C101" t="s">
        <v>16</v>
      </c>
      <c r="D101" t="s">
        <v>17</v>
      </c>
      <c r="E101" s="1">
        <v>80</v>
      </c>
      <c r="F101" s="1">
        <v>145000</v>
      </c>
      <c r="G101" s="1">
        <v>11600000</v>
      </c>
      <c r="H101" s="1">
        <v>225000</v>
      </c>
      <c r="I101" s="1">
        <v>18000000</v>
      </c>
      <c r="J101" s="1">
        <v>6400000</v>
      </c>
    </row>
    <row r="102" spans="1:10" x14ac:dyDescent="0.3">
      <c r="A102" s="2">
        <v>45758</v>
      </c>
      <c r="B102" t="s">
        <v>21</v>
      </c>
      <c r="C102" t="s">
        <v>16</v>
      </c>
      <c r="D102" t="s">
        <v>18</v>
      </c>
      <c r="E102" s="1">
        <v>80</v>
      </c>
      <c r="F102" s="1">
        <v>175000</v>
      </c>
      <c r="G102" s="1">
        <v>14000000</v>
      </c>
      <c r="H102" s="1">
        <v>210000</v>
      </c>
      <c r="I102" s="1">
        <v>16800000</v>
      </c>
      <c r="J102" s="1">
        <v>2800000</v>
      </c>
    </row>
    <row r="103" spans="1:10" x14ac:dyDescent="0.3">
      <c r="A103" s="2">
        <v>45759</v>
      </c>
      <c r="B103" t="s">
        <v>21</v>
      </c>
      <c r="C103" t="s">
        <v>16</v>
      </c>
      <c r="D103" t="s">
        <v>19</v>
      </c>
      <c r="E103" s="1">
        <v>70</v>
      </c>
      <c r="F103" s="1">
        <v>125000</v>
      </c>
      <c r="G103" s="1">
        <v>8750000</v>
      </c>
      <c r="H103" s="1">
        <v>210000</v>
      </c>
      <c r="I103" s="1">
        <v>14700000</v>
      </c>
      <c r="J103" s="1">
        <v>5950000</v>
      </c>
    </row>
    <row r="104" spans="1:10" x14ac:dyDescent="0.3">
      <c r="A104" s="2">
        <v>45760</v>
      </c>
      <c r="B104" t="s">
        <v>15</v>
      </c>
      <c r="C104" t="s">
        <v>16</v>
      </c>
      <c r="D104" t="s">
        <v>17</v>
      </c>
      <c r="E104" s="1">
        <v>60</v>
      </c>
      <c r="F104" s="1">
        <v>165000</v>
      </c>
      <c r="G104" s="1">
        <v>9900000</v>
      </c>
      <c r="H104" s="1">
        <v>225000</v>
      </c>
      <c r="I104" s="1">
        <v>13500000</v>
      </c>
      <c r="J104" s="1">
        <v>3600000</v>
      </c>
    </row>
    <row r="105" spans="1:10" x14ac:dyDescent="0.3">
      <c r="A105" s="2">
        <v>45761</v>
      </c>
      <c r="B105" t="s">
        <v>15</v>
      </c>
      <c r="C105" t="s">
        <v>16</v>
      </c>
      <c r="D105" t="s">
        <v>18</v>
      </c>
      <c r="E105" s="1">
        <v>40</v>
      </c>
      <c r="F105" s="1">
        <v>185000</v>
      </c>
      <c r="G105" s="1">
        <v>7400000</v>
      </c>
      <c r="H105" s="1">
        <v>210000</v>
      </c>
      <c r="I105" s="1">
        <v>8400000</v>
      </c>
      <c r="J105" s="1">
        <v>1000000</v>
      </c>
    </row>
    <row r="106" spans="1:10" x14ac:dyDescent="0.3">
      <c r="A106" s="2">
        <v>45762</v>
      </c>
      <c r="B106" t="s">
        <v>15</v>
      </c>
      <c r="C106" t="s">
        <v>22</v>
      </c>
      <c r="D106" t="s">
        <v>19</v>
      </c>
      <c r="E106" s="1">
        <v>40</v>
      </c>
      <c r="F106" s="1">
        <v>175000</v>
      </c>
      <c r="G106" s="1">
        <v>7000000</v>
      </c>
      <c r="H106" s="1">
        <v>210000</v>
      </c>
      <c r="I106" s="1">
        <v>8400000</v>
      </c>
      <c r="J106" s="1">
        <v>1400000</v>
      </c>
    </row>
    <row r="107" spans="1:10" x14ac:dyDescent="0.3">
      <c r="A107" s="2">
        <v>45763</v>
      </c>
      <c r="B107" t="s">
        <v>15</v>
      </c>
      <c r="C107" t="s">
        <v>22</v>
      </c>
      <c r="D107" t="s">
        <v>17</v>
      </c>
      <c r="E107" s="1">
        <v>80</v>
      </c>
      <c r="F107" s="1">
        <v>165000</v>
      </c>
      <c r="G107" s="1">
        <v>13200000</v>
      </c>
      <c r="H107" s="1">
        <v>225000</v>
      </c>
      <c r="I107" s="1">
        <v>18000000</v>
      </c>
      <c r="J107" s="1">
        <v>4800000</v>
      </c>
    </row>
    <row r="108" spans="1:10" x14ac:dyDescent="0.3">
      <c r="A108" s="2">
        <v>45764</v>
      </c>
      <c r="B108" t="s">
        <v>15</v>
      </c>
      <c r="C108" t="s">
        <v>22</v>
      </c>
      <c r="D108" t="s">
        <v>18</v>
      </c>
      <c r="E108" s="1">
        <v>80</v>
      </c>
      <c r="F108" s="1">
        <v>145000</v>
      </c>
      <c r="G108" s="1">
        <v>11600000</v>
      </c>
      <c r="H108" s="1">
        <v>210000</v>
      </c>
      <c r="I108" s="1">
        <v>16800000</v>
      </c>
      <c r="J108" s="1">
        <v>5200000</v>
      </c>
    </row>
    <row r="109" spans="1:10" x14ac:dyDescent="0.3">
      <c r="A109" s="2">
        <v>45765</v>
      </c>
      <c r="B109" t="s">
        <v>15</v>
      </c>
      <c r="C109" t="s">
        <v>22</v>
      </c>
      <c r="D109" t="s">
        <v>19</v>
      </c>
      <c r="E109" s="1">
        <v>70</v>
      </c>
      <c r="F109" s="1">
        <v>135000</v>
      </c>
      <c r="G109" s="1">
        <v>9450000</v>
      </c>
      <c r="H109" s="1">
        <v>210000</v>
      </c>
      <c r="I109" s="1">
        <v>14700000</v>
      </c>
      <c r="J109" s="1">
        <v>5250000</v>
      </c>
    </row>
    <row r="110" spans="1:10" x14ac:dyDescent="0.3">
      <c r="A110" s="2">
        <v>45766</v>
      </c>
      <c r="B110" t="s">
        <v>15</v>
      </c>
      <c r="C110" t="s">
        <v>23</v>
      </c>
      <c r="D110" t="s">
        <v>17</v>
      </c>
      <c r="E110" s="1">
        <v>60</v>
      </c>
      <c r="F110" s="1">
        <v>145000</v>
      </c>
      <c r="G110" s="1">
        <v>8700000</v>
      </c>
      <c r="H110" s="1">
        <v>225000</v>
      </c>
      <c r="I110" s="1">
        <v>13500000</v>
      </c>
      <c r="J110" s="1">
        <v>4800000</v>
      </c>
    </row>
    <row r="111" spans="1:10" x14ac:dyDescent="0.3">
      <c r="A111" s="2">
        <v>45767</v>
      </c>
      <c r="B111" t="s">
        <v>20</v>
      </c>
      <c r="C111" t="s">
        <v>23</v>
      </c>
      <c r="D111" t="s">
        <v>18</v>
      </c>
      <c r="E111" s="1">
        <v>80</v>
      </c>
      <c r="F111" s="1">
        <v>145000</v>
      </c>
      <c r="G111" s="1">
        <v>11600000</v>
      </c>
      <c r="H111" s="1">
        <v>210000</v>
      </c>
      <c r="I111" s="1">
        <v>16800000</v>
      </c>
      <c r="J111" s="1">
        <v>5200000</v>
      </c>
    </row>
    <row r="112" spans="1:10" x14ac:dyDescent="0.3">
      <c r="A112" s="2">
        <v>45768</v>
      </c>
      <c r="B112" t="s">
        <v>21</v>
      </c>
      <c r="C112" t="s">
        <v>23</v>
      </c>
      <c r="D112" t="s">
        <v>19</v>
      </c>
      <c r="E112" s="1">
        <v>50</v>
      </c>
      <c r="F112" s="1">
        <v>205000</v>
      </c>
      <c r="G112" s="1">
        <v>10250000</v>
      </c>
      <c r="H112" s="1">
        <v>210000</v>
      </c>
      <c r="I112" s="1">
        <v>10500000</v>
      </c>
      <c r="J112" s="1">
        <v>250000</v>
      </c>
    </row>
    <row r="113" spans="1:10" x14ac:dyDescent="0.3">
      <c r="A113" s="2">
        <v>45769</v>
      </c>
      <c r="B113" t="s">
        <v>21</v>
      </c>
      <c r="C113" t="s">
        <v>23</v>
      </c>
      <c r="D113" t="s">
        <v>17</v>
      </c>
      <c r="E113" s="1">
        <v>50</v>
      </c>
      <c r="F113" s="1">
        <v>115000</v>
      </c>
      <c r="G113" s="1">
        <v>5750000</v>
      </c>
      <c r="H113" s="1">
        <v>225000</v>
      </c>
      <c r="I113" s="1">
        <v>11250000</v>
      </c>
      <c r="J113" s="1">
        <v>5500000</v>
      </c>
    </row>
    <row r="114" spans="1:10" x14ac:dyDescent="0.3">
      <c r="A114" s="2">
        <v>45770</v>
      </c>
      <c r="B114" t="s">
        <v>15</v>
      </c>
      <c r="C114" t="s">
        <v>16</v>
      </c>
      <c r="D114" t="s">
        <v>18</v>
      </c>
      <c r="E114" s="1">
        <v>50</v>
      </c>
      <c r="F114" s="1">
        <v>215000</v>
      </c>
      <c r="G114" s="1">
        <v>10750000</v>
      </c>
      <c r="H114" s="1">
        <v>210000</v>
      </c>
      <c r="I114" s="1">
        <v>10500000</v>
      </c>
      <c r="J114" s="1">
        <v>-250000</v>
      </c>
    </row>
    <row r="115" spans="1:10" x14ac:dyDescent="0.3">
      <c r="A115" s="2">
        <v>45771</v>
      </c>
      <c r="B115" t="s">
        <v>15</v>
      </c>
      <c r="C115" t="s">
        <v>16</v>
      </c>
      <c r="D115" t="s">
        <v>19</v>
      </c>
      <c r="E115" s="1">
        <v>90</v>
      </c>
      <c r="F115" s="1">
        <v>115000</v>
      </c>
      <c r="G115" s="1">
        <v>10350000</v>
      </c>
      <c r="H115" s="1">
        <v>210000</v>
      </c>
      <c r="I115" s="1">
        <v>18900000</v>
      </c>
      <c r="J115" s="1">
        <v>8550000</v>
      </c>
    </row>
    <row r="116" spans="1:10" x14ac:dyDescent="0.3">
      <c r="A116" s="2">
        <v>45772</v>
      </c>
      <c r="B116" t="s">
        <v>15</v>
      </c>
      <c r="C116" t="s">
        <v>16</v>
      </c>
      <c r="D116" t="s">
        <v>17</v>
      </c>
      <c r="E116" s="1">
        <v>80</v>
      </c>
      <c r="F116" s="1">
        <v>165000</v>
      </c>
      <c r="G116" s="1">
        <v>13200000</v>
      </c>
      <c r="H116" s="1">
        <v>225000</v>
      </c>
      <c r="I116" s="1">
        <v>18000000</v>
      </c>
      <c r="J116" s="1">
        <v>4800000</v>
      </c>
    </row>
    <row r="117" spans="1:10" x14ac:dyDescent="0.3">
      <c r="A117" s="2">
        <v>45773</v>
      </c>
      <c r="B117" t="s">
        <v>15</v>
      </c>
      <c r="C117" t="s">
        <v>16</v>
      </c>
      <c r="D117" t="s">
        <v>18</v>
      </c>
      <c r="E117" s="1">
        <v>90</v>
      </c>
      <c r="F117" s="1">
        <v>145000</v>
      </c>
      <c r="G117" s="1">
        <v>13050000</v>
      </c>
      <c r="H117" s="1">
        <v>210000</v>
      </c>
      <c r="I117" s="1">
        <v>18900000</v>
      </c>
      <c r="J117" s="1">
        <v>5850000</v>
      </c>
    </row>
    <row r="118" spans="1:10" x14ac:dyDescent="0.3">
      <c r="A118" s="2">
        <v>45774</v>
      </c>
      <c r="B118" t="s">
        <v>15</v>
      </c>
      <c r="C118" t="s">
        <v>16</v>
      </c>
      <c r="D118" t="s">
        <v>19</v>
      </c>
      <c r="E118" s="1">
        <v>40</v>
      </c>
      <c r="F118" s="1">
        <v>125000</v>
      </c>
      <c r="G118" s="1">
        <v>5000000</v>
      </c>
      <c r="H118" s="1">
        <v>210000</v>
      </c>
      <c r="I118" s="1">
        <v>8400000</v>
      </c>
      <c r="J118" s="1">
        <v>3400000</v>
      </c>
    </row>
    <row r="119" spans="1:10" x14ac:dyDescent="0.3">
      <c r="A119" s="2">
        <v>45775</v>
      </c>
      <c r="B119" t="s">
        <v>15</v>
      </c>
      <c r="C119" t="s">
        <v>16</v>
      </c>
      <c r="D119" t="s">
        <v>17</v>
      </c>
      <c r="E119" s="1">
        <v>90</v>
      </c>
      <c r="F119" s="1">
        <v>155000</v>
      </c>
      <c r="G119" s="1">
        <v>13950000</v>
      </c>
      <c r="H119" s="1">
        <v>225000</v>
      </c>
      <c r="I119" s="1">
        <v>20250000</v>
      </c>
      <c r="J119" s="1">
        <v>6300000</v>
      </c>
    </row>
    <row r="120" spans="1:10" x14ac:dyDescent="0.3">
      <c r="A120" s="2">
        <v>45776</v>
      </c>
      <c r="B120" t="s">
        <v>15</v>
      </c>
      <c r="C120" t="s">
        <v>16</v>
      </c>
      <c r="D120" t="s">
        <v>18</v>
      </c>
      <c r="E120" s="1">
        <v>60</v>
      </c>
      <c r="F120" s="1">
        <v>175000</v>
      </c>
      <c r="G120" s="1">
        <v>10500000</v>
      </c>
      <c r="H120" s="1">
        <v>210000</v>
      </c>
      <c r="I120" s="1">
        <v>12600000</v>
      </c>
      <c r="J120" s="1">
        <v>2100000</v>
      </c>
    </row>
    <row r="121" spans="1:10" x14ac:dyDescent="0.3">
      <c r="A121" s="2">
        <v>45777</v>
      </c>
      <c r="B121" t="s">
        <v>20</v>
      </c>
      <c r="C121" t="s">
        <v>16</v>
      </c>
      <c r="D121" t="s">
        <v>19</v>
      </c>
      <c r="E121" s="1">
        <v>70</v>
      </c>
      <c r="F121" s="1">
        <v>205000</v>
      </c>
      <c r="G121" s="1">
        <v>14350000</v>
      </c>
      <c r="H121" s="1">
        <v>210000</v>
      </c>
      <c r="I121" s="1">
        <v>14700000</v>
      </c>
      <c r="J121" s="1">
        <v>350000</v>
      </c>
    </row>
    <row r="122" spans="1:10" x14ac:dyDescent="0.3">
      <c r="A122" s="2">
        <v>45778</v>
      </c>
      <c r="B122" t="s">
        <v>21</v>
      </c>
      <c r="C122" t="s">
        <v>16</v>
      </c>
      <c r="D122" t="s">
        <v>17</v>
      </c>
      <c r="E122" s="1">
        <v>60</v>
      </c>
      <c r="F122" s="1">
        <v>165000</v>
      </c>
      <c r="G122" s="1">
        <v>9900000</v>
      </c>
      <c r="H122" s="1">
        <v>225000</v>
      </c>
      <c r="I122" s="1">
        <v>13500000</v>
      </c>
      <c r="J122" s="1">
        <v>3600000</v>
      </c>
    </row>
    <row r="123" spans="1:10" x14ac:dyDescent="0.3">
      <c r="A123" s="2">
        <v>45779</v>
      </c>
      <c r="B123" t="s">
        <v>21</v>
      </c>
      <c r="C123" t="s">
        <v>16</v>
      </c>
      <c r="D123" t="s">
        <v>18</v>
      </c>
      <c r="E123" s="1">
        <v>70</v>
      </c>
      <c r="F123" s="1">
        <v>145000</v>
      </c>
      <c r="G123" s="1">
        <v>10150000</v>
      </c>
      <c r="H123" s="1">
        <v>210000</v>
      </c>
      <c r="I123" s="1">
        <v>14700000</v>
      </c>
      <c r="J123" s="1">
        <v>4550000</v>
      </c>
    </row>
    <row r="124" spans="1:10" x14ac:dyDescent="0.3">
      <c r="A124" s="2">
        <v>45780</v>
      </c>
      <c r="B124" t="s">
        <v>15</v>
      </c>
      <c r="C124" t="s">
        <v>16</v>
      </c>
      <c r="D124" t="s">
        <v>19</v>
      </c>
      <c r="E124" s="1">
        <v>40</v>
      </c>
      <c r="F124" s="1">
        <v>175000</v>
      </c>
      <c r="G124" s="1">
        <v>7000000</v>
      </c>
      <c r="H124" s="1">
        <v>210000</v>
      </c>
      <c r="I124" s="1">
        <v>8400000</v>
      </c>
      <c r="J124" s="1">
        <v>1400000</v>
      </c>
    </row>
    <row r="125" spans="1:10" x14ac:dyDescent="0.3">
      <c r="A125" s="2">
        <v>45781</v>
      </c>
      <c r="B125" t="s">
        <v>15</v>
      </c>
      <c r="C125" t="s">
        <v>16</v>
      </c>
      <c r="D125" t="s">
        <v>17</v>
      </c>
      <c r="E125" s="1">
        <v>90</v>
      </c>
      <c r="F125" s="1">
        <v>145000</v>
      </c>
      <c r="G125" s="1">
        <v>13050000</v>
      </c>
      <c r="H125" s="1">
        <v>225000</v>
      </c>
      <c r="I125" s="1">
        <v>20250000</v>
      </c>
      <c r="J125" s="1">
        <v>7200000</v>
      </c>
    </row>
    <row r="126" spans="1:10" x14ac:dyDescent="0.3">
      <c r="A126" s="2">
        <v>45782</v>
      </c>
      <c r="B126" t="s">
        <v>15</v>
      </c>
      <c r="C126" t="s">
        <v>22</v>
      </c>
      <c r="D126" t="s">
        <v>18</v>
      </c>
      <c r="E126" s="1">
        <v>40</v>
      </c>
      <c r="F126" s="1">
        <v>165000</v>
      </c>
      <c r="G126" s="1">
        <v>6600000</v>
      </c>
      <c r="H126" s="1">
        <v>210000</v>
      </c>
      <c r="I126" s="1">
        <v>8400000</v>
      </c>
      <c r="J126" s="1">
        <v>1800000</v>
      </c>
    </row>
    <row r="127" spans="1:10" x14ac:dyDescent="0.3">
      <c r="A127" s="2">
        <v>45783</v>
      </c>
      <c r="B127" t="s">
        <v>15</v>
      </c>
      <c r="C127" t="s">
        <v>22</v>
      </c>
      <c r="D127" t="s">
        <v>19</v>
      </c>
      <c r="E127" s="1">
        <v>70</v>
      </c>
      <c r="F127" s="1">
        <v>155000</v>
      </c>
      <c r="G127" s="1">
        <v>10850000</v>
      </c>
      <c r="H127" s="1">
        <v>210000</v>
      </c>
      <c r="I127" s="1">
        <v>14700000</v>
      </c>
      <c r="J127" s="1">
        <v>3850000</v>
      </c>
    </row>
    <row r="128" spans="1:10" x14ac:dyDescent="0.3">
      <c r="A128" s="2">
        <v>45784</v>
      </c>
      <c r="B128" t="s">
        <v>15</v>
      </c>
      <c r="C128" t="s">
        <v>22</v>
      </c>
      <c r="D128" t="s">
        <v>17</v>
      </c>
      <c r="E128" s="1">
        <v>80</v>
      </c>
      <c r="F128" s="1">
        <v>185000</v>
      </c>
      <c r="G128" s="1">
        <v>14800000</v>
      </c>
      <c r="H128" s="1">
        <v>225000</v>
      </c>
      <c r="I128" s="1">
        <v>18000000</v>
      </c>
      <c r="J128" s="1">
        <v>3200000</v>
      </c>
    </row>
    <row r="129" spans="1:10" x14ac:dyDescent="0.3">
      <c r="A129" s="2">
        <v>45785</v>
      </c>
      <c r="B129" t="s">
        <v>15</v>
      </c>
      <c r="C129" t="s">
        <v>22</v>
      </c>
      <c r="D129" t="s">
        <v>18</v>
      </c>
      <c r="E129" s="1">
        <v>70</v>
      </c>
      <c r="F129" s="1">
        <v>145000</v>
      </c>
      <c r="G129" s="1">
        <v>10150000</v>
      </c>
      <c r="H129" s="1">
        <v>210000</v>
      </c>
      <c r="I129" s="1">
        <v>14700000</v>
      </c>
      <c r="J129" s="1">
        <v>4550000</v>
      </c>
    </row>
    <row r="130" spans="1:10" x14ac:dyDescent="0.3">
      <c r="A130" s="2">
        <v>45786</v>
      </c>
      <c r="B130" t="s">
        <v>15</v>
      </c>
      <c r="C130" t="s">
        <v>23</v>
      </c>
      <c r="D130" t="s">
        <v>19</v>
      </c>
      <c r="E130" s="1">
        <v>80</v>
      </c>
      <c r="F130" s="1">
        <v>115000</v>
      </c>
      <c r="G130" s="1">
        <v>9200000</v>
      </c>
      <c r="H130" s="1">
        <v>210000</v>
      </c>
      <c r="I130" s="1">
        <v>16800000</v>
      </c>
      <c r="J130" s="1">
        <v>7600000</v>
      </c>
    </row>
    <row r="131" spans="1:10" x14ac:dyDescent="0.3">
      <c r="A131" s="2">
        <v>45787</v>
      </c>
      <c r="B131" t="s">
        <v>20</v>
      </c>
      <c r="C131" t="s">
        <v>23</v>
      </c>
      <c r="D131" t="s">
        <v>17</v>
      </c>
      <c r="E131" s="1">
        <v>70</v>
      </c>
      <c r="F131" s="1">
        <v>195000</v>
      </c>
      <c r="G131" s="1">
        <v>13650000</v>
      </c>
      <c r="H131" s="1">
        <v>225000</v>
      </c>
      <c r="I131" s="1">
        <v>15750000</v>
      </c>
      <c r="J131" s="1">
        <v>2100000</v>
      </c>
    </row>
    <row r="132" spans="1:10" x14ac:dyDescent="0.3">
      <c r="A132" s="2">
        <v>45788</v>
      </c>
      <c r="B132" t="s">
        <v>21</v>
      </c>
      <c r="C132" t="s">
        <v>23</v>
      </c>
      <c r="D132" t="s">
        <v>18</v>
      </c>
      <c r="E132" s="1">
        <v>50</v>
      </c>
      <c r="F132" s="1">
        <v>175000</v>
      </c>
      <c r="G132" s="1">
        <v>8750000</v>
      </c>
      <c r="H132" s="1">
        <v>210000</v>
      </c>
      <c r="I132" s="1">
        <v>10500000</v>
      </c>
      <c r="J132" s="1">
        <v>1750000</v>
      </c>
    </row>
    <row r="133" spans="1:10" x14ac:dyDescent="0.3">
      <c r="A133" s="2">
        <v>45789</v>
      </c>
      <c r="B133" t="s">
        <v>21</v>
      </c>
      <c r="C133" t="s">
        <v>23</v>
      </c>
      <c r="D133" t="s">
        <v>19</v>
      </c>
      <c r="E133" s="1">
        <v>50</v>
      </c>
      <c r="F133" s="1">
        <v>195000</v>
      </c>
      <c r="G133" s="1">
        <v>9750000</v>
      </c>
      <c r="H133" s="1">
        <v>210000</v>
      </c>
      <c r="I133" s="1">
        <v>10500000</v>
      </c>
      <c r="J133" s="1">
        <v>750000</v>
      </c>
    </row>
    <row r="134" spans="1:10" x14ac:dyDescent="0.3">
      <c r="A134" s="2">
        <v>45790</v>
      </c>
      <c r="B134" t="s">
        <v>15</v>
      </c>
      <c r="C134" t="s">
        <v>16</v>
      </c>
      <c r="D134" t="s">
        <v>17</v>
      </c>
      <c r="E134" s="1">
        <v>70</v>
      </c>
      <c r="F134" s="1">
        <v>215000</v>
      </c>
      <c r="G134" s="1">
        <v>15050000</v>
      </c>
      <c r="H134" s="1">
        <v>225000</v>
      </c>
      <c r="I134" s="1">
        <v>15750000</v>
      </c>
      <c r="J134" s="1">
        <v>700000</v>
      </c>
    </row>
    <row r="135" spans="1:10" x14ac:dyDescent="0.3">
      <c r="A135" s="2">
        <v>45791</v>
      </c>
      <c r="B135" t="s">
        <v>15</v>
      </c>
      <c r="C135" t="s">
        <v>16</v>
      </c>
      <c r="D135" t="s">
        <v>18</v>
      </c>
      <c r="E135" s="1">
        <v>80</v>
      </c>
      <c r="F135" s="1">
        <v>215000</v>
      </c>
      <c r="G135" s="1">
        <v>17200000</v>
      </c>
      <c r="H135" s="1">
        <v>210000</v>
      </c>
      <c r="I135" s="1">
        <v>16800000</v>
      </c>
      <c r="J135" s="1">
        <v>-400000</v>
      </c>
    </row>
    <row r="136" spans="1:10" x14ac:dyDescent="0.3">
      <c r="A136" s="2">
        <v>45792</v>
      </c>
      <c r="B136" t="s">
        <v>15</v>
      </c>
      <c r="C136" t="s">
        <v>16</v>
      </c>
      <c r="D136" t="s">
        <v>19</v>
      </c>
      <c r="E136" s="1">
        <v>90</v>
      </c>
      <c r="F136" s="1">
        <v>145000</v>
      </c>
      <c r="G136" s="1">
        <v>13050000</v>
      </c>
      <c r="H136" s="1">
        <v>210000</v>
      </c>
      <c r="I136" s="1">
        <v>18900000</v>
      </c>
      <c r="J136" s="1">
        <v>5850000</v>
      </c>
    </row>
    <row r="137" spans="1:10" x14ac:dyDescent="0.3">
      <c r="A137" s="2">
        <v>45793</v>
      </c>
      <c r="B137" t="s">
        <v>15</v>
      </c>
      <c r="C137" t="s">
        <v>16</v>
      </c>
      <c r="D137" t="s">
        <v>17</v>
      </c>
      <c r="E137" s="1">
        <v>50</v>
      </c>
      <c r="F137" s="1">
        <v>175000</v>
      </c>
      <c r="G137" s="1">
        <v>8750000</v>
      </c>
      <c r="H137" s="1">
        <v>225000</v>
      </c>
      <c r="I137" s="1">
        <v>11250000</v>
      </c>
      <c r="J137" s="1">
        <v>2500000</v>
      </c>
    </row>
    <row r="138" spans="1:10" x14ac:dyDescent="0.3">
      <c r="A138" s="2">
        <v>45794</v>
      </c>
      <c r="B138" t="s">
        <v>15</v>
      </c>
      <c r="C138" t="s">
        <v>16</v>
      </c>
      <c r="D138" t="s">
        <v>18</v>
      </c>
      <c r="E138" s="1">
        <v>80</v>
      </c>
      <c r="F138" s="1">
        <v>95000</v>
      </c>
      <c r="G138" s="1">
        <v>7600000</v>
      </c>
      <c r="H138" s="1">
        <v>210000</v>
      </c>
      <c r="I138" s="1">
        <v>16800000</v>
      </c>
      <c r="J138" s="1">
        <v>9200000</v>
      </c>
    </row>
    <row r="139" spans="1:10" x14ac:dyDescent="0.3">
      <c r="A139" s="2">
        <v>45795</v>
      </c>
      <c r="B139" t="s">
        <v>15</v>
      </c>
      <c r="C139" t="s">
        <v>16</v>
      </c>
      <c r="D139" t="s">
        <v>19</v>
      </c>
      <c r="E139" s="1">
        <v>70</v>
      </c>
      <c r="F139" s="1">
        <v>115000</v>
      </c>
      <c r="G139" s="1">
        <v>8050000</v>
      </c>
      <c r="H139" s="1">
        <v>210000</v>
      </c>
      <c r="I139" s="1">
        <v>14700000</v>
      </c>
      <c r="J139" s="1">
        <v>6650000</v>
      </c>
    </row>
    <row r="140" spans="1:10" x14ac:dyDescent="0.3">
      <c r="A140" s="2">
        <v>45796</v>
      </c>
      <c r="B140" t="s">
        <v>15</v>
      </c>
      <c r="C140" t="s">
        <v>16</v>
      </c>
      <c r="D140" t="s">
        <v>17</v>
      </c>
      <c r="E140" s="1">
        <v>50</v>
      </c>
      <c r="F140" s="1">
        <v>95000</v>
      </c>
      <c r="G140" s="1">
        <v>4750000</v>
      </c>
      <c r="H140" s="1">
        <v>225000</v>
      </c>
      <c r="I140" s="1">
        <v>11250000</v>
      </c>
      <c r="J140" s="1">
        <v>6500000</v>
      </c>
    </row>
    <row r="141" spans="1:10" x14ac:dyDescent="0.3">
      <c r="A141" s="2">
        <v>45797</v>
      </c>
      <c r="B141" t="s">
        <v>20</v>
      </c>
      <c r="C141" t="s">
        <v>16</v>
      </c>
      <c r="D141" t="s">
        <v>18</v>
      </c>
      <c r="E141" s="1">
        <v>50</v>
      </c>
      <c r="F141" s="1">
        <v>115000</v>
      </c>
      <c r="G141" s="1">
        <v>5750000</v>
      </c>
      <c r="H141" s="1">
        <v>210000</v>
      </c>
      <c r="I141" s="1">
        <v>10500000</v>
      </c>
      <c r="J141" s="1">
        <v>4750000</v>
      </c>
    </row>
    <row r="142" spans="1:10" x14ac:dyDescent="0.3">
      <c r="A142" s="2">
        <v>45798</v>
      </c>
      <c r="B142" t="s">
        <v>21</v>
      </c>
      <c r="C142" t="s">
        <v>16</v>
      </c>
      <c r="D142" t="s">
        <v>19</v>
      </c>
      <c r="E142" s="1">
        <v>60</v>
      </c>
      <c r="F142" s="1">
        <v>195000</v>
      </c>
      <c r="G142" s="1">
        <v>11700000</v>
      </c>
      <c r="H142" s="1">
        <v>210000</v>
      </c>
      <c r="I142" s="1">
        <v>12600000</v>
      </c>
      <c r="J142" s="1">
        <v>900000</v>
      </c>
    </row>
    <row r="143" spans="1:10" x14ac:dyDescent="0.3">
      <c r="A143" s="2">
        <v>45799</v>
      </c>
      <c r="B143" t="s">
        <v>21</v>
      </c>
      <c r="C143" t="s">
        <v>16</v>
      </c>
      <c r="D143" t="s">
        <v>17</v>
      </c>
      <c r="E143" s="1">
        <v>60</v>
      </c>
      <c r="F143" s="1">
        <v>165000</v>
      </c>
      <c r="G143" s="1">
        <v>9900000</v>
      </c>
      <c r="H143" s="1">
        <v>225000</v>
      </c>
      <c r="I143" s="1">
        <v>13500000</v>
      </c>
      <c r="J143" s="1">
        <v>3600000</v>
      </c>
    </row>
    <row r="144" spans="1:10" x14ac:dyDescent="0.3">
      <c r="A144" s="2">
        <v>45800</v>
      </c>
      <c r="B144" t="s">
        <v>15</v>
      </c>
      <c r="C144" t="s">
        <v>16</v>
      </c>
      <c r="D144" t="s">
        <v>18</v>
      </c>
      <c r="E144" s="1">
        <v>70</v>
      </c>
      <c r="F144" s="1">
        <v>125000</v>
      </c>
      <c r="G144" s="1">
        <v>8750000</v>
      </c>
      <c r="H144" s="1">
        <v>210000</v>
      </c>
      <c r="I144" s="1">
        <v>14700000</v>
      </c>
      <c r="J144" s="1">
        <v>5950000</v>
      </c>
    </row>
    <row r="145" spans="1:10" x14ac:dyDescent="0.3">
      <c r="A145" s="2">
        <v>45801</v>
      </c>
      <c r="B145" t="s">
        <v>15</v>
      </c>
      <c r="C145" t="s">
        <v>16</v>
      </c>
      <c r="D145" t="s">
        <v>19</v>
      </c>
      <c r="E145" s="1">
        <v>40</v>
      </c>
      <c r="F145" s="1">
        <v>205000</v>
      </c>
      <c r="G145" s="1">
        <v>8200000</v>
      </c>
      <c r="H145" s="1">
        <v>210000</v>
      </c>
      <c r="I145" s="1">
        <v>8400000</v>
      </c>
      <c r="J145" s="1">
        <v>200000</v>
      </c>
    </row>
    <row r="146" spans="1:10" x14ac:dyDescent="0.3">
      <c r="A146" s="2">
        <v>45802</v>
      </c>
      <c r="B146" t="s">
        <v>15</v>
      </c>
      <c r="C146" t="s">
        <v>22</v>
      </c>
      <c r="D146" t="s">
        <v>17</v>
      </c>
      <c r="E146" s="1">
        <v>80</v>
      </c>
      <c r="F146" s="1">
        <v>205000</v>
      </c>
      <c r="G146" s="1">
        <v>16400000</v>
      </c>
      <c r="H146" s="1">
        <v>225000</v>
      </c>
      <c r="I146" s="1">
        <v>18000000</v>
      </c>
      <c r="J146" s="1">
        <v>1600000</v>
      </c>
    </row>
    <row r="147" spans="1:10" x14ac:dyDescent="0.3">
      <c r="A147" s="2">
        <v>45803</v>
      </c>
      <c r="B147" t="s">
        <v>15</v>
      </c>
      <c r="C147" t="s">
        <v>22</v>
      </c>
      <c r="D147" t="s">
        <v>18</v>
      </c>
      <c r="E147" s="1">
        <v>80</v>
      </c>
      <c r="F147" s="1">
        <v>135000</v>
      </c>
      <c r="G147" s="1">
        <v>10800000</v>
      </c>
      <c r="H147" s="1">
        <v>210000</v>
      </c>
      <c r="I147" s="1">
        <v>16800000</v>
      </c>
      <c r="J147" s="1">
        <v>6000000</v>
      </c>
    </row>
    <row r="148" spans="1:10" x14ac:dyDescent="0.3">
      <c r="A148" s="2">
        <v>45804</v>
      </c>
      <c r="B148" t="s">
        <v>15</v>
      </c>
      <c r="C148" t="s">
        <v>22</v>
      </c>
      <c r="D148" t="s">
        <v>19</v>
      </c>
      <c r="E148" s="1">
        <v>70</v>
      </c>
      <c r="F148" s="1">
        <v>205000</v>
      </c>
      <c r="G148" s="1">
        <v>14350000</v>
      </c>
      <c r="H148" s="1">
        <v>210000</v>
      </c>
      <c r="I148" s="1">
        <v>14700000</v>
      </c>
      <c r="J148" s="1">
        <v>350000</v>
      </c>
    </row>
    <row r="149" spans="1:10" x14ac:dyDescent="0.3">
      <c r="A149" s="2">
        <v>45805</v>
      </c>
      <c r="B149" t="s">
        <v>15</v>
      </c>
      <c r="C149" t="s">
        <v>22</v>
      </c>
      <c r="D149" t="s">
        <v>17</v>
      </c>
      <c r="E149" s="1">
        <v>70</v>
      </c>
      <c r="F149" s="1">
        <v>105000</v>
      </c>
      <c r="G149" s="1">
        <v>7350000</v>
      </c>
      <c r="H149" s="1">
        <v>225000</v>
      </c>
      <c r="I149" s="1">
        <v>15750000</v>
      </c>
      <c r="J149" s="1">
        <v>8400000</v>
      </c>
    </row>
    <row r="150" spans="1:10" x14ac:dyDescent="0.3">
      <c r="A150" s="2">
        <v>45806</v>
      </c>
      <c r="B150" t="s">
        <v>15</v>
      </c>
      <c r="C150" t="s">
        <v>23</v>
      </c>
      <c r="D150" t="s">
        <v>18</v>
      </c>
      <c r="E150" s="1">
        <v>60</v>
      </c>
      <c r="F150" s="1">
        <v>135000</v>
      </c>
      <c r="G150" s="1">
        <v>8100000</v>
      </c>
      <c r="H150" s="1">
        <v>210000</v>
      </c>
      <c r="I150" s="1">
        <v>12600000</v>
      </c>
      <c r="J150" s="1">
        <v>4500000</v>
      </c>
    </row>
    <row r="151" spans="1:10" x14ac:dyDescent="0.3">
      <c r="A151" s="2">
        <v>45807</v>
      </c>
      <c r="B151" t="s">
        <v>20</v>
      </c>
      <c r="C151" t="s">
        <v>23</v>
      </c>
      <c r="D151" t="s">
        <v>19</v>
      </c>
      <c r="E151" s="1">
        <v>60</v>
      </c>
      <c r="F151" s="1">
        <v>105000</v>
      </c>
      <c r="G151" s="1">
        <v>6300000</v>
      </c>
      <c r="H151" s="1">
        <v>210000</v>
      </c>
      <c r="I151" s="1">
        <v>12600000</v>
      </c>
      <c r="J151" s="1">
        <v>6300000</v>
      </c>
    </row>
    <row r="152" spans="1:10" x14ac:dyDescent="0.3">
      <c r="A152" s="2">
        <v>45808</v>
      </c>
      <c r="B152" t="s">
        <v>21</v>
      </c>
      <c r="C152" t="s">
        <v>23</v>
      </c>
      <c r="D152" t="s">
        <v>17</v>
      </c>
      <c r="E152" s="1">
        <v>90</v>
      </c>
      <c r="F152" s="1">
        <v>175000</v>
      </c>
      <c r="G152" s="1">
        <v>15750000</v>
      </c>
      <c r="H152" s="1">
        <v>225000</v>
      </c>
      <c r="I152" s="1">
        <v>20250000</v>
      </c>
      <c r="J152" s="1">
        <v>4500000</v>
      </c>
    </row>
    <row r="153" spans="1:10" x14ac:dyDescent="0.3">
      <c r="A153" s="2">
        <v>45809</v>
      </c>
      <c r="B153" t="s">
        <v>21</v>
      </c>
      <c r="C153" t="s">
        <v>23</v>
      </c>
      <c r="D153" t="s">
        <v>18</v>
      </c>
      <c r="E153" s="1">
        <v>50</v>
      </c>
      <c r="F153" s="1">
        <v>175000</v>
      </c>
      <c r="G153" s="1">
        <v>8750000</v>
      </c>
      <c r="H153" s="1">
        <v>210000</v>
      </c>
      <c r="I153" s="1">
        <v>10500000</v>
      </c>
      <c r="J153" s="1">
        <v>1750000</v>
      </c>
    </row>
    <row r="154" spans="1:10" x14ac:dyDescent="0.3">
      <c r="A154" s="2">
        <v>45810</v>
      </c>
      <c r="B154" t="s">
        <v>15</v>
      </c>
      <c r="C154" t="s">
        <v>16</v>
      </c>
      <c r="D154" t="s">
        <v>19</v>
      </c>
      <c r="E154" s="1">
        <v>60</v>
      </c>
      <c r="F154" s="1">
        <v>115000</v>
      </c>
      <c r="G154" s="1">
        <v>6900000</v>
      </c>
      <c r="H154" s="1">
        <v>210000</v>
      </c>
      <c r="I154" s="1">
        <v>12600000</v>
      </c>
      <c r="J154" s="1">
        <v>5700000</v>
      </c>
    </row>
    <row r="155" spans="1:10" x14ac:dyDescent="0.3">
      <c r="A155" s="2">
        <v>45811</v>
      </c>
      <c r="B155" t="s">
        <v>15</v>
      </c>
      <c r="C155" t="s">
        <v>16</v>
      </c>
      <c r="D155" t="s">
        <v>17</v>
      </c>
      <c r="E155" s="1">
        <v>50</v>
      </c>
      <c r="F155" s="1">
        <v>175000</v>
      </c>
      <c r="G155" s="1">
        <v>8750000</v>
      </c>
      <c r="H155" s="1">
        <v>225000</v>
      </c>
      <c r="I155" s="1">
        <v>11250000</v>
      </c>
      <c r="J155" s="1">
        <v>2500000</v>
      </c>
    </row>
    <row r="156" spans="1:10" x14ac:dyDescent="0.3">
      <c r="A156" s="2">
        <v>45812</v>
      </c>
      <c r="B156" t="s">
        <v>15</v>
      </c>
      <c r="C156" t="s">
        <v>16</v>
      </c>
      <c r="D156" t="s">
        <v>18</v>
      </c>
      <c r="E156" s="1">
        <v>90</v>
      </c>
      <c r="F156" s="1">
        <v>135000</v>
      </c>
      <c r="G156" s="1">
        <v>12150000</v>
      </c>
      <c r="H156" s="1">
        <v>210000</v>
      </c>
      <c r="I156" s="1">
        <v>18900000</v>
      </c>
      <c r="J156" s="1">
        <v>6750000</v>
      </c>
    </row>
    <row r="157" spans="1:10" x14ac:dyDescent="0.3">
      <c r="A157" s="2">
        <v>45813</v>
      </c>
      <c r="B157" t="s">
        <v>15</v>
      </c>
      <c r="C157" t="s">
        <v>16</v>
      </c>
      <c r="D157" t="s">
        <v>19</v>
      </c>
      <c r="E157" s="1">
        <v>50</v>
      </c>
      <c r="F157" s="1">
        <v>165000</v>
      </c>
      <c r="G157" s="1">
        <v>8250000</v>
      </c>
      <c r="H157" s="1">
        <v>210000</v>
      </c>
      <c r="I157" s="1">
        <v>10500000</v>
      </c>
      <c r="J157" s="1">
        <v>2250000</v>
      </c>
    </row>
    <row r="158" spans="1:10" x14ac:dyDescent="0.3">
      <c r="A158" s="2">
        <v>45814</v>
      </c>
      <c r="B158" t="s">
        <v>15</v>
      </c>
      <c r="C158" t="s">
        <v>16</v>
      </c>
      <c r="D158" t="s">
        <v>17</v>
      </c>
      <c r="E158" s="1">
        <v>50</v>
      </c>
      <c r="F158" s="1">
        <v>145000</v>
      </c>
      <c r="G158" s="1">
        <v>7250000</v>
      </c>
      <c r="H158" s="1">
        <v>225000</v>
      </c>
      <c r="I158" s="1">
        <v>11250000</v>
      </c>
      <c r="J158" s="1">
        <v>4000000</v>
      </c>
    </row>
    <row r="159" spans="1:10" x14ac:dyDescent="0.3">
      <c r="A159" s="2">
        <v>45815</v>
      </c>
      <c r="B159" t="s">
        <v>15</v>
      </c>
      <c r="C159" t="s">
        <v>16</v>
      </c>
      <c r="D159" t="s">
        <v>18</v>
      </c>
      <c r="E159" s="1">
        <v>40</v>
      </c>
      <c r="F159" s="1">
        <v>145000</v>
      </c>
      <c r="G159" s="1">
        <v>5800000</v>
      </c>
      <c r="H159" s="1">
        <v>210000</v>
      </c>
      <c r="I159" s="1">
        <v>8400000</v>
      </c>
      <c r="J159" s="1">
        <v>2600000</v>
      </c>
    </row>
    <row r="160" spans="1:10" x14ac:dyDescent="0.3">
      <c r="A160" s="2">
        <v>45816</v>
      </c>
      <c r="B160" t="s">
        <v>15</v>
      </c>
      <c r="C160" t="s">
        <v>16</v>
      </c>
      <c r="D160" t="s">
        <v>19</v>
      </c>
      <c r="E160" s="1">
        <v>70</v>
      </c>
      <c r="F160" s="1">
        <v>105000</v>
      </c>
      <c r="G160" s="1">
        <v>7350000</v>
      </c>
      <c r="H160" s="1">
        <v>210000</v>
      </c>
      <c r="I160" s="1">
        <v>14700000</v>
      </c>
      <c r="J160" s="1">
        <v>7350000</v>
      </c>
    </row>
    <row r="161" spans="1:10" x14ac:dyDescent="0.3">
      <c r="A161" s="2">
        <v>45817</v>
      </c>
      <c r="B161" t="s">
        <v>20</v>
      </c>
      <c r="C161" t="s">
        <v>16</v>
      </c>
      <c r="D161" t="s">
        <v>17</v>
      </c>
      <c r="E161" s="1">
        <v>50</v>
      </c>
      <c r="F161" s="1">
        <v>135000</v>
      </c>
      <c r="G161" s="1">
        <v>6750000</v>
      </c>
      <c r="H161" s="1">
        <v>225000</v>
      </c>
      <c r="I161" s="1">
        <v>11250000</v>
      </c>
      <c r="J161" s="1">
        <v>4500000</v>
      </c>
    </row>
    <row r="162" spans="1:10" x14ac:dyDescent="0.3">
      <c r="A162" s="2">
        <v>45818</v>
      </c>
      <c r="B162" t="s">
        <v>21</v>
      </c>
      <c r="C162" t="s">
        <v>16</v>
      </c>
      <c r="D162" t="s">
        <v>18</v>
      </c>
      <c r="E162" s="1">
        <v>60</v>
      </c>
      <c r="F162" s="1">
        <v>145000</v>
      </c>
      <c r="G162" s="1">
        <v>8700000</v>
      </c>
      <c r="H162" s="1">
        <v>210000</v>
      </c>
      <c r="I162" s="1">
        <v>12600000</v>
      </c>
      <c r="J162" s="1">
        <v>3900000</v>
      </c>
    </row>
    <row r="163" spans="1:10" x14ac:dyDescent="0.3">
      <c r="A163" s="2">
        <v>45819</v>
      </c>
      <c r="B163" t="s">
        <v>21</v>
      </c>
      <c r="C163" t="s">
        <v>16</v>
      </c>
      <c r="D163" t="s">
        <v>19</v>
      </c>
      <c r="E163" s="1">
        <v>60</v>
      </c>
      <c r="F163" s="1">
        <v>105000</v>
      </c>
      <c r="G163" s="1">
        <v>6300000</v>
      </c>
      <c r="H163" s="1">
        <v>210000</v>
      </c>
      <c r="I163" s="1">
        <v>12600000</v>
      </c>
      <c r="J163" s="1">
        <v>6300000</v>
      </c>
    </row>
    <row r="164" spans="1:10" x14ac:dyDescent="0.3">
      <c r="A164" s="2">
        <v>45820</v>
      </c>
      <c r="B164" t="s">
        <v>15</v>
      </c>
      <c r="C164" t="s">
        <v>16</v>
      </c>
      <c r="D164" t="s">
        <v>17</v>
      </c>
      <c r="E164" s="1">
        <v>90</v>
      </c>
      <c r="F164" s="1">
        <v>155000</v>
      </c>
      <c r="G164" s="1">
        <v>13950000</v>
      </c>
      <c r="H164" s="1">
        <v>225000</v>
      </c>
      <c r="I164" s="1">
        <v>20250000</v>
      </c>
      <c r="J164" s="1">
        <v>6300000</v>
      </c>
    </row>
    <row r="165" spans="1:10" x14ac:dyDescent="0.3">
      <c r="A165" s="2">
        <v>45821</v>
      </c>
      <c r="B165" t="s">
        <v>15</v>
      </c>
      <c r="C165" t="s">
        <v>16</v>
      </c>
      <c r="D165" t="s">
        <v>18</v>
      </c>
      <c r="E165" s="1">
        <v>50</v>
      </c>
      <c r="F165" s="1">
        <v>145000</v>
      </c>
      <c r="G165" s="1">
        <v>7250000</v>
      </c>
      <c r="H165" s="1">
        <v>210000</v>
      </c>
      <c r="I165" s="1">
        <v>10500000</v>
      </c>
      <c r="J165" s="1">
        <v>3250000</v>
      </c>
    </row>
    <row r="166" spans="1:10" x14ac:dyDescent="0.3">
      <c r="A166" s="2">
        <v>45822</v>
      </c>
      <c r="B166" t="s">
        <v>15</v>
      </c>
      <c r="C166" t="s">
        <v>22</v>
      </c>
      <c r="D166" t="s">
        <v>19</v>
      </c>
      <c r="E166" s="1">
        <v>90</v>
      </c>
      <c r="F166" s="1">
        <v>115000</v>
      </c>
      <c r="G166" s="1">
        <v>10350000</v>
      </c>
      <c r="H166" s="1">
        <v>210000</v>
      </c>
      <c r="I166" s="1">
        <v>18900000</v>
      </c>
      <c r="J166" s="1">
        <v>8550000</v>
      </c>
    </row>
    <row r="167" spans="1:10" x14ac:dyDescent="0.3">
      <c r="A167" s="2">
        <v>45823</v>
      </c>
      <c r="B167" t="s">
        <v>15</v>
      </c>
      <c r="C167" t="s">
        <v>22</v>
      </c>
      <c r="D167" t="s">
        <v>17</v>
      </c>
      <c r="E167" s="1">
        <v>90</v>
      </c>
      <c r="F167" s="1">
        <v>105000</v>
      </c>
      <c r="G167" s="1">
        <v>9450000</v>
      </c>
      <c r="H167" s="1">
        <v>225000</v>
      </c>
      <c r="I167" s="1">
        <v>20250000</v>
      </c>
      <c r="J167" s="1">
        <v>10800000</v>
      </c>
    </row>
    <row r="168" spans="1:10" x14ac:dyDescent="0.3">
      <c r="A168" s="2">
        <v>45824</v>
      </c>
      <c r="B168" t="s">
        <v>15</v>
      </c>
      <c r="C168" t="s">
        <v>22</v>
      </c>
      <c r="D168" t="s">
        <v>18</v>
      </c>
      <c r="E168" s="1">
        <v>40</v>
      </c>
      <c r="F168" s="1">
        <v>165000</v>
      </c>
      <c r="G168" s="1">
        <v>6600000</v>
      </c>
      <c r="H168" s="1">
        <v>210000</v>
      </c>
      <c r="I168" s="1">
        <v>8400000</v>
      </c>
      <c r="J168" s="1">
        <v>1800000</v>
      </c>
    </row>
    <row r="169" spans="1:10" x14ac:dyDescent="0.3">
      <c r="A169" s="2">
        <v>45825</v>
      </c>
      <c r="B169" t="s">
        <v>15</v>
      </c>
      <c r="C169" t="s">
        <v>22</v>
      </c>
      <c r="D169" t="s">
        <v>19</v>
      </c>
      <c r="E169" s="1">
        <v>40</v>
      </c>
      <c r="F169" s="1">
        <v>95000</v>
      </c>
      <c r="G169" s="1">
        <v>3800000</v>
      </c>
      <c r="H169" s="1">
        <v>210000</v>
      </c>
      <c r="I169" s="1">
        <v>8400000</v>
      </c>
      <c r="J169" s="1">
        <v>4600000</v>
      </c>
    </row>
    <row r="170" spans="1:10" x14ac:dyDescent="0.3">
      <c r="A170" s="2">
        <v>45826</v>
      </c>
      <c r="B170" t="s">
        <v>15</v>
      </c>
      <c r="C170" t="s">
        <v>23</v>
      </c>
      <c r="D170" t="s">
        <v>17</v>
      </c>
      <c r="E170" s="1">
        <v>70</v>
      </c>
      <c r="F170" s="1">
        <v>215000</v>
      </c>
      <c r="G170" s="1">
        <v>15050000</v>
      </c>
      <c r="H170" s="1">
        <v>225000</v>
      </c>
      <c r="I170" s="1">
        <v>15750000</v>
      </c>
      <c r="J170" s="1">
        <v>700000</v>
      </c>
    </row>
    <row r="171" spans="1:10" x14ac:dyDescent="0.3">
      <c r="A171" s="2">
        <v>45827</v>
      </c>
      <c r="B171" t="s">
        <v>20</v>
      </c>
      <c r="C171" t="s">
        <v>23</v>
      </c>
      <c r="D171" t="s">
        <v>18</v>
      </c>
      <c r="E171" s="1">
        <v>90</v>
      </c>
      <c r="F171" s="1">
        <v>175000</v>
      </c>
      <c r="G171" s="1">
        <v>15750000</v>
      </c>
      <c r="H171" s="1">
        <v>210000</v>
      </c>
      <c r="I171" s="1">
        <v>18900000</v>
      </c>
      <c r="J171" s="1">
        <v>3150000</v>
      </c>
    </row>
    <row r="172" spans="1:10" x14ac:dyDescent="0.3">
      <c r="A172" s="2">
        <v>45828</v>
      </c>
      <c r="B172" t="s">
        <v>21</v>
      </c>
      <c r="C172" t="s">
        <v>23</v>
      </c>
      <c r="D172" t="s">
        <v>19</v>
      </c>
      <c r="E172" s="1">
        <v>60</v>
      </c>
      <c r="F172" s="1">
        <v>135000</v>
      </c>
      <c r="G172" s="1">
        <v>8100000</v>
      </c>
      <c r="H172" s="1">
        <v>210000</v>
      </c>
      <c r="I172" s="1">
        <v>12600000</v>
      </c>
      <c r="J172" s="1">
        <v>4500000</v>
      </c>
    </row>
    <row r="173" spans="1:10" x14ac:dyDescent="0.3">
      <c r="A173" s="2">
        <v>45829</v>
      </c>
      <c r="B173" t="s">
        <v>21</v>
      </c>
      <c r="C173" t="s">
        <v>23</v>
      </c>
      <c r="D173" t="s">
        <v>17</v>
      </c>
      <c r="E173" s="1">
        <v>50</v>
      </c>
      <c r="F173" s="1">
        <v>165000</v>
      </c>
      <c r="G173" s="1">
        <v>8250000</v>
      </c>
      <c r="H173" s="1">
        <v>225000</v>
      </c>
      <c r="I173" s="1">
        <v>11250000</v>
      </c>
      <c r="J173" s="1">
        <v>3000000</v>
      </c>
    </row>
    <row r="174" spans="1:10" x14ac:dyDescent="0.3">
      <c r="A174" s="2">
        <v>45830</v>
      </c>
      <c r="B174" t="s">
        <v>15</v>
      </c>
      <c r="C174" t="s">
        <v>16</v>
      </c>
      <c r="D174" t="s">
        <v>18</v>
      </c>
      <c r="E174" s="1">
        <v>50</v>
      </c>
      <c r="F174" s="1">
        <v>95000</v>
      </c>
      <c r="G174" s="1">
        <v>4750000</v>
      </c>
      <c r="H174" s="1">
        <v>210000</v>
      </c>
      <c r="I174" s="1">
        <v>10500000</v>
      </c>
      <c r="J174" s="1">
        <v>5750000</v>
      </c>
    </row>
    <row r="175" spans="1:10" x14ac:dyDescent="0.3">
      <c r="A175" s="2">
        <v>45831</v>
      </c>
      <c r="B175" t="s">
        <v>15</v>
      </c>
      <c r="C175" t="s">
        <v>16</v>
      </c>
      <c r="D175" t="s">
        <v>19</v>
      </c>
      <c r="E175" s="1">
        <v>80</v>
      </c>
      <c r="F175" s="1">
        <v>85000</v>
      </c>
      <c r="G175" s="1">
        <v>6800000</v>
      </c>
      <c r="H175" s="1">
        <v>210000</v>
      </c>
      <c r="I175" s="1">
        <v>16800000</v>
      </c>
      <c r="J175" s="1">
        <v>10000000</v>
      </c>
    </row>
    <row r="176" spans="1:10" x14ac:dyDescent="0.3">
      <c r="A176" s="2">
        <v>45832</v>
      </c>
      <c r="B176" t="s">
        <v>15</v>
      </c>
      <c r="C176" t="s">
        <v>16</v>
      </c>
      <c r="D176" t="s">
        <v>17</v>
      </c>
      <c r="E176" s="1">
        <v>80</v>
      </c>
      <c r="F176" s="1">
        <v>115000</v>
      </c>
      <c r="G176" s="1">
        <v>9200000</v>
      </c>
      <c r="H176" s="1">
        <v>225000</v>
      </c>
      <c r="I176" s="1">
        <v>18000000</v>
      </c>
      <c r="J176" s="1">
        <v>8800000</v>
      </c>
    </row>
    <row r="177" spans="1:10" x14ac:dyDescent="0.3">
      <c r="A177" s="2">
        <v>45833</v>
      </c>
      <c r="B177" t="s">
        <v>15</v>
      </c>
      <c r="C177" t="s">
        <v>16</v>
      </c>
      <c r="D177" t="s">
        <v>18</v>
      </c>
      <c r="E177" s="1">
        <v>70</v>
      </c>
      <c r="F177" s="1">
        <v>135000</v>
      </c>
      <c r="G177" s="1">
        <v>9450000</v>
      </c>
      <c r="H177" s="1">
        <v>210000</v>
      </c>
      <c r="I177" s="1">
        <v>14700000</v>
      </c>
      <c r="J177" s="1">
        <v>5250000</v>
      </c>
    </row>
    <row r="178" spans="1:10" x14ac:dyDescent="0.3">
      <c r="A178" s="2">
        <v>45834</v>
      </c>
      <c r="B178" t="s">
        <v>15</v>
      </c>
      <c r="C178" t="s">
        <v>16</v>
      </c>
      <c r="D178" t="s">
        <v>19</v>
      </c>
      <c r="E178" s="1">
        <v>60</v>
      </c>
      <c r="F178" s="1">
        <v>205000</v>
      </c>
      <c r="G178" s="1">
        <v>12300000</v>
      </c>
      <c r="H178" s="1">
        <v>210000</v>
      </c>
      <c r="I178" s="1">
        <v>12600000</v>
      </c>
      <c r="J178" s="1">
        <v>300000</v>
      </c>
    </row>
    <row r="179" spans="1:10" x14ac:dyDescent="0.3">
      <c r="A179" s="2">
        <v>45835</v>
      </c>
      <c r="B179" t="s">
        <v>15</v>
      </c>
      <c r="C179" t="s">
        <v>16</v>
      </c>
      <c r="D179" t="s">
        <v>17</v>
      </c>
      <c r="E179" s="1">
        <v>80</v>
      </c>
      <c r="F179" s="1">
        <v>165000</v>
      </c>
      <c r="G179" s="1">
        <v>13200000</v>
      </c>
      <c r="H179" s="1">
        <v>225000</v>
      </c>
      <c r="I179" s="1">
        <v>18000000</v>
      </c>
      <c r="J179" s="1">
        <v>4800000</v>
      </c>
    </row>
    <row r="180" spans="1:10" x14ac:dyDescent="0.3">
      <c r="A180" s="2">
        <v>45836</v>
      </c>
      <c r="B180" t="s">
        <v>15</v>
      </c>
      <c r="C180" t="s">
        <v>16</v>
      </c>
      <c r="D180" t="s">
        <v>18</v>
      </c>
      <c r="E180" s="1">
        <v>90</v>
      </c>
      <c r="F180" s="1">
        <v>95000</v>
      </c>
      <c r="G180" s="1">
        <v>8550000</v>
      </c>
      <c r="H180" s="1">
        <v>210000</v>
      </c>
      <c r="I180" s="1">
        <v>18900000</v>
      </c>
      <c r="J180" s="1">
        <v>10350000</v>
      </c>
    </row>
    <row r="181" spans="1:10" x14ac:dyDescent="0.3">
      <c r="A181" s="2">
        <v>45837</v>
      </c>
      <c r="B181" t="s">
        <v>20</v>
      </c>
      <c r="C181" t="s">
        <v>16</v>
      </c>
      <c r="D181" t="s">
        <v>19</v>
      </c>
      <c r="E181" s="1">
        <v>70</v>
      </c>
      <c r="F181" s="1">
        <v>155000</v>
      </c>
      <c r="G181" s="1">
        <v>10850000</v>
      </c>
      <c r="H181" s="1">
        <v>210000</v>
      </c>
      <c r="I181" s="1">
        <v>14700000</v>
      </c>
      <c r="J181" s="1">
        <v>3850000</v>
      </c>
    </row>
    <row r="182" spans="1:10" x14ac:dyDescent="0.3">
      <c r="A182" s="2">
        <v>45838</v>
      </c>
      <c r="B182" t="s">
        <v>21</v>
      </c>
      <c r="C182" t="s">
        <v>16</v>
      </c>
      <c r="D182" t="s">
        <v>17</v>
      </c>
      <c r="E182" s="1">
        <v>60</v>
      </c>
      <c r="F182" s="1">
        <v>135000</v>
      </c>
      <c r="G182" s="1">
        <v>8100000</v>
      </c>
      <c r="H182" s="1">
        <v>225000</v>
      </c>
      <c r="I182" s="1">
        <v>13500000</v>
      </c>
      <c r="J182" s="1">
        <v>5400000</v>
      </c>
    </row>
    <row r="183" spans="1:10" x14ac:dyDescent="0.3">
      <c r="A183" s="2">
        <v>45839</v>
      </c>
      <c r="B183" t="s">
        <v>21</v>
      </c>
      <c r="C183" t="s">
        <v>16</v>
      </c>
      <c r="D183" t="s">
        <v>18</v>
      </c>
      <c r="E183" s="1">
        <v>70</v>
      </c>
      <c r="F183" s="1">
        <v>115000</v>
      </c>
      <c r="G183" s="1">
        <v>8050000</v>
      </c>
      <c r="H183" s="1">
        <v>210000</v>
      </c>
      <c r="I183" s="1">
        <v>14700000</v>
      </c>
      <c r="J183" s="1">
        <v>6650000</v>
      </c>
    </row>
    <row r="184" spans="1:10" x14ac:dyDescent="0.3">
      <c r="A184" s="2">
        <v>45840</v>
      </c>
      <c r="B184" t="s">
        <v>15</v>
      </c>
      <c r="C184" t="s">
        <v>16</v>
      </c>
      <c r="D184" t="s">
        <v>19</v>
      </c>
      <c r="E184" s="1">
        <v>90</v>
      </c>
      <c r="F184" s="1">
        <v>165000</v>
      </c>
      <c r="G184" s="1">
        <v>14850000</v>
      </c>
      <c r="H184" s="1">
        <v>210000</v>
      </c>
      <c r="I184" s="1">
        <v>18900000</v>
      </c>
      <c r="J184" s="1">
        <v>4050000</v>
      </c>
    </row>
    <row r="185" spans="1:10" x14ac:dyDescent="0.3">
      <c r="A185" s="2">
        <v>45841</v>
      </c>
      <c r="B185" t="s">
        <v>15</v>
      </c>
      <c r="C185" t="s">
        <v>16</v>
      </c>
      <c r="D185" t="s">
        <v>17</v>
      </c>
      <c r="E185" s="1">
        <v>60</v>
      </c>
      <c r="F185" s="1">
        <v>105000</v>
      </c>
      <c r="G185" s="1">
        <v>6300000</v>
      </c>
      <c r="H185" s="1">
        <v>225000</v>
      </c>
      <c r="I185" s="1">
        <v>13500000</v>
      </c>
      <c r="J185" s="1">
        <v>7200000</v>
      </c>
    </row>
    <row r="186" spans="1:10" x14ac:dyDescent="0.3">
      <c r="A186" s="2">
        <v>45842</v>
      </c>
      <c r="B186" t="s">
        <v>15</v>
      </c>
      <c r="C186" t="s">
        <v>22</v>
      </c>
      <c r="D186" t="s">
        <v>18</v>
      </c>
      <c r="E186" s="1">
        <v>80</v>
      </c>
      <c r="F186" s="1">
        <v>165000</v>
      </c>
      <c r="G186" s="1">
        <v>13200000</v>
      </c>
      <c r="H186" s="1">
        <v>210000</v>
      </c>
      <c r="I186" s="1">
        <v>16800000</v>
      </c>
      <c r="J186" s="1">
        <v>3600000</v>
      </c>
    </row>
    <row r="187" spans="1:10" x14ac:dyDescent="0.3">
      <c r="A187" s="2">
        <v>45843</v>
      </c>
      <c r="B187" t="s">
        <v>15</v>
      </c>
      <c r="C187" t="s">
        <v>22</v>
      </c>
      <c r="D187" t="s">
        <v>19</v>
      </c>
      <c r="E187" s="1">
        <v>80</v>
      </c>
      <c r="F187" s="1">
        <v>195000</v>
      </c>
      <c r="G187" s="1">
        <v>15600000</v>
      </c>
      <c r="H187" s="1">
        <v>210000</v>
      </c>
      <c r="I187" s="1">
        <v>16800000</v>
      </c>
      <c r="J187" s="1">
        <v>1200000</v>
      </c>
    </row>
    <row r="188" spans="1:10" x14ac:dyDescent="0.3">
      <c r="A188" s="2">
        <v>45844</v>
      </c>
      <c r="B188" t="s">
        <v>15</v>
      </c>
      <c r="C188" t="s">
        <v>22</v>
      </c>
      <c r="D188" t="s">
        <v>17</v>
      </c>
      <c r="E188" s="1">
        <v>70</v>
      </c>
      <c r="F188" s="1">
        <v>105000</v>
      </c>
      <c r="G188" s="1">
        <v>7350000</v>
      </c>
      <c r="H188" s="1">
        <v>225000</v>
      </c>
      <c r="I188" s="1">
        <v>15750000</v>
      </c>
      <c r="J188" s="1">
        <v>8400000</v>
      </c>
    </row>
    <row r="189" spans="1:10" x14ac:dyDescent="0.3">
      <c r="A189" s="2">
        <v>45845</v>
      </c>
      <c r="B189" t="s">
        <v>15</v>
      </c>
      <c r="C189" t="s">
        <v>22</v>
      </c>
      <c r="D189" t="s">
        <v>18</v>
      </c>
      <c r="E189" s="1">
        <v>60</v>
      </c>
      <c r="F189" s="1">
        <v>165000</v>
      </c>
      <c r="G189" s="1">
        <v>9900000</v>
      </c>
      <c r="H189" s="1">
        <v>210000</v>
      </c>
      <c r="I189" s="1">
        <v>12600000</v>
      </c>
      <c r="J189" s="1">
        <v>2700000</v>
      </c>
    </row>
    <row r="190" spans="1:10" x14ac:dyDescent="0.3">
      <c r="A190" s="2">
        <v>45846</v>
      </c>
      <c r="B190" t="s">
        <v>15</v>
      </c>
      <c r="C190" t="s">
        <v>23</v>
      </c>
      <c r="D190" t="s">
        <v>19</v>
      </c>
      <c r="E190" s="1">
        <v>90</v>
      </c>
      <c r="F190" s="1">
        <v>195000</v>
      </c>
      <c r="G190" s="1">
        <v>17550000</v>
      </c>
      <c r="H190" s="1">
        <v>210000</v>
      </c>
      <c r="I190" s="1">
        <v>18900000</v>
      </c>
      <c r="J190" s="1">
        <v>1350000</v>
      </c>
    </row>
    <row r="191" spans="1:10" x14ac:dyDescent="0.3">
      <c r="A191" s="2">
        <v>45847</v>
      </c>
      <c r="B191" t="s">
        <v>20</v>
      </c>
      <c r="C191" t="s">
        <v>23</v>
      </c>
      <c r="D191" t="s">
        <v>17</v>
      </c>
      <c r="E191" s="1">
        <v>60</v>
      </c>
      <c r="F191" s="1">
        <v>165000</v>
      </c>
      <c r="G191" s="1">
        <v>9900000</v>
      </c>
      <c r="H191" s="1">
        <v>225000</v>
      </c>
      <c r="I191" s="1">
        <v>13500000</v>
      </c>
      <c r="J191" s="1">
        <v>3600000</v>
      </c>
    </row>
    <row r="192" spans="1:10" x14ac:dyDescent="0.3">
      <c r="A192" s="2">
        <v>45848</v>
      </c>
      <c r="B192" t="s">
        <v>21</v>
      </c>
      <c r="C192" t="s">
        <v>23</v>
      </c>
      <c r="D192" t="s">
        <v>18</v>
      </c>
      <c r="E192" s="1">
        <v>40</v>
      </c>
      <c r="F192" s="1">
        <v>185000</v>
      </c>
      <c r="G192" s="1">
        <v>7400000</v>
      </c>
      <c r="H192" s="1">
        <v>210000</v>
      </c>
      <c r="I192" s="1">
        <v>8400000</v>
      </c>
      <c r="J192" s="1">
        <v>1000000</v>
      </c>
    </row>
    <row r="193" spans="1:10" x14ac:dyDescent="0.3">
      <c r="A193" s="2">
        <v>45849</v>
      </c>
      <c r="B193" t="s">
        <v>21</v>
      </c>
      <c r="C193" t="s">
        <v>23</v>
      </c>
      <c r="D193" t="s">
        <v>19</v>
      </c>
      <c r="E193" s="1">
        <v>80</v>
      </c>
      <c r="F193" s="1">
        <v>165000</v>
      </c>
      <c r="G193" s="1">
        <v>13200000</v>
      </c>
      <c r="H193" s="1">
        <v>210000</v>
      </c>
      <c r="I193" s="1">
        <v>16800000</v>
      </c>
      <c r="J193" s="1">
        <v>3600000</v>
      </c>
    </row>
    <row r="194" spans="1:10" x14ac:dyDescent="0.3">
      <c r="A194" s="2">
        <v>45850</v>
      </c>
      <c r="B194" t="s">
        <v>15</v>
      </c>
      <c r="C194" t="s">
        <v>16</v>
      </c>
      <c r="D194" t="s">
        <v>17</v>
      </c>
      <c r="E194" s="1">
        <v>50</v>
      </c>
      <c r="F194" s="1">
        <v>185000</v>
      </c>
      <c r="G194" s="1">
        <v>9250000</v>
      </c>
      <c r="H194" s="1">
        <v>225000</v>
      </c>
      <c r="I194" s="1">
        <v>11250000</v>
      </c>
      <c r="J194" s="1">
        <v>2000000</v>
      </c>
    </row>
    <row r="195" spans="1:10" x14ac:dyDescent="0.3">
      <c r="A195" s="2">
        <v>45851</v>
      </c>
      <c r="B195" t="s">
        <v>15</v>
      </c>
      <c r="C195" t="s">
        <v>16</v>
      </c>
      <c r="D195" t="s">
        <v>18</v>
      </c>
      <c r="E195" s="1">
        <v>80</v>
      </c>
      <c r="F195" s="1">
        <v>205000</v>
      </c>
      <c r="G195" s="1">
        <v>16400000</v>
      </c>
      <c r="H195" s="1">
        <v>210000</v>
      </c>
      <c r="I195" s="1">
        <v>16800000</v>
      </c>
      <c r="J195" s="1">
        <v>400000</v>
      </c>
    </row>
    <row r="196" spans="1:10" x14ac:dyDescent="0.3">
      <c r="A196" s="2">
        <v>45852</v>
      </c>
      <c r="B196" t="s">
        <v>15</v>
      </c>
      <c r="C196" t="s">
        <v>16</v>
      </c>
      <c r="D196" t="s">
        <v>19</v>
      </c>
      <c r="E196" s="1">
        <v>80</v>
      </c>
      <c r="F196" s="1">
        <v>185000</v>
      </c>
      <c r="G196" s="1">
        <v>14800000</v>
      </c>
      <c r="H196" s="1">
        <v>210000</v>
      </c>
      <c r="I196" s="1">
        <v>16800000</v>
      </c>
      <c r="J196" s="1">
        <v>2000000</v>
      </c>
    </row>
    <row r="197" spans="1:10" x14ac:dyDescent="0.3">
      <c r="A197" s="2">
        <v>45853</v>
      </c>
      <c r="B197" t="s">
        <v>15</v>
      </c>
      <c r="C197" t="s">
        <v>16</v>
      </c>
      <c r="D197" t="s">
        <v>17</v>
      </c>
      <c r="E197" s="1">
        <v>60</v>
      </c>
      <c r="F197" s="1">
        <v>105000</v>
      </c>
      <c r="G197" s="1">
        <v>6300000</v>
      </c>
      <c r="H197" s="1">
        <v>225000</v>
      </c>
      <c r="I197" s="1">
        <v>13500000</v>
      </c>
      <c r="J197" s="1">
        <v>7200000</v>
      </c>
    </row>
    <row r="198" spans="1:10" x14ac:dyDescent="0.3">
      <c r="A198" s="2">
        <v>45854</v>
      </c>
      <c r="B198" t="s">
        <v>15</v>
      </c>
      <c r="C198" t="s">
        <v>16</v>
      </c>
      <c r="D198" t="s">
        <v>18</v>
      </c>
      <c r="E198" s="1">
        <v>40</v>
      </c>
      <c r="F198" s="1">
        <v>165000</v>
      </c>
      <c r="G198" s="1">
        <v>6600000</v>
      </c>
      <c r="H198" s="1">
        <v>210000</v>
      </c>
      <c r="I198" s="1">
        <v>8400000</v>
      </c>
      <c r="J198" s="1">
        <v>1800000</v>
      </c>
    </row>
    <row r="199" spans="1:10" x14ac:dyDescent="0.3">
      <c r="A199" s="2">
        <v>45855</v>
      </c>
      <c r="B199" t="s">
        <v>15</v>
      </c>
      <c r="C199" t="s">
        <v>16</v>
      </c>
      <c r="D199" t="s">
        <v>19</v>
      </c>
      <c r="E199" s="1">
        <v>50</v>
      </c>
      <c r="F199" s="1">
        <v>115000</v>
      </c>
      <c r="G199" s="1">
        <v>5750000</v>
      </c>
      <c r="H199" s="1">
        <v>210000</v>
      </c>
      <c r="I199" s="1">
        <v>10500000</v>
      </c>
      <c r="J199" s="1">
        <v>4750000</v>
      </c>
    </row>
    <row r="200" spans="1:10" x14ac:dyDescent="0.3">
      <c r="A200" s="2">
        <v>45856</v>
      </c>
      <c r="B200" t="s">
        <v>15</v>
      </c>
      <c r="C200" t="s">
        <v>16</v>
      </c>
      <c r="D200" t="s">
        <v>17</v>
      </c>
      <c r="E200" s="1">
        <v>60</v>
      </c>
      <c r="F200" s="1">
        <v>165000</v>
      </c>
      <c r="G200" s="1">
        <v>9900000</v>
      </c>
      <c r="H200" s="1">
        <v>225000</v>
      </c>
      <c r="I200" s="1">
        <v>13500000</v>
      </c>
      <c r="J200" s="1">
        <v>3600000</v>
      </c>
    </row>
    <row r="201" spans="1:10" x14ac:dyDescent="0.3">
      <c r="A201" s="2">
        <v>45857</v>
      </c>
      <c r="B201" t="s">
        <v>20</v>
      </c>
      <c r="C201" t="s">
        <v>16</v>
      </c>
      <c r="D201" t="s">
        <v>18</v>
      </c>
      <c r="E201" s="1">
        <v>80</v>
      </c>
      <c r="F201" s="1">
        <v>195000</v>
      </c>
      <c r="G201" s="1">
        <v>15600000</v>
      </c>
      <c r="H201" s="1">
        <v>210000</v>
      </c>
      <c r="I201" s="1">
        <v>16800000</v>
      </c>
      <c r="J201" s="1">
        <v>1200000</v>
      </c>
    </row>
    <row r="202" spans="1:10" x14ac:dyDescent="0.3">
      <c r="A202" s="2">
        <v>45858</v>
      </c>
      <c r="B202" t="s">
        <v>21</v>
      </c>
      <c r="C202" t="s">
        <v>16</v>
      </c>
      <c r="D202" t="s">
        <v>19</v>
      </c>
      <c r="E202" s="1">
        <v>90</v>
      </c>
      <c r="F202" s="1">
        <v>125000</v>
      </c>
      <c r="G202" s="1">
        <v>11250000</v>
      </c>
      <c r="H202" s="1">
        <v>210000</v>
      </c>
      <c r="I202" s="1">
        <v>18900000</v>
      </c>
      <c r="J202" s="1">
        <v>7650000</v>
      </c>
    </row>
    <row r="203" spans="1:10" x14ac:dyDescent="0.3">
      <c r="A203" s="2">
        <v>45859</v>
      </c>
      <c r="B203" t="s">
        <v>21</v>
      </c>
      <c r="C203" t="s">
        <v>16</v>
      </c>
      <c r="D203" t="s">
        <v>17</v>
      </c>
      <c r="E203" s="1">
        <v>80</v>
      </c>
      <c r="F203" s="1">
        <v>115000</v>
      </c>
      <c r="G203" s="1">
        <v>9200000</v>
      </c>
      <c r="H203" s="1">
        <v>225000</v>
      </c>
      <c r="I203" s="1">
        <v>18000000</v>
      </c>
      <c r="J203" s="1">
        <v>8800000</v>
      </c>
    </row>
    <row r="204" spans="1:10" x14ac:dyDescent="0.3">
      <c r="A204" s="2">
        <v>45860</v>
      </c>
      <c r="B204" t="s">
        <v>15</v>
      </c>
      <c r="C204" t="s">
        <v>16</v>
      </c>
      <c r="D204" t="s">
        <v>18</v>
      </c>
      <c r="E204" s="1">
        <v>60</v>
      </c>
      <c r="F204" s="1">
        <v>155000</v>
      </c>
      <c r="G204" s="1">
        <v>9300000</v>
      </c>
      <c r="H204" s="1">
        <v>210000</v>
      </c>
      <c r="I204" s="1">
        <v>12600000</v>
      </c>
      <c r="J204" s="1">
        <v>3300000</v>
      </c>
    </row>
    <row r="205" spans="1:10" x14ac:dyDescent="0.3">
      <c r="A205" s="2">
        <v>45861</v>
      </c>
      <c r="B205" t="s">
        <v>15</v>
      </c>
      <c r="C205" t="s">
        <v>16</v>
      </c>
      <c r="D205" t="s">
        <v>19</v>
      </c>
      <c r="E205" s="1">
        <v>60</v>
      </c>
      <c r="F205" s="1">
        <v>145000</v>
      </c>
      <c r="G205" s="1">
        <v>8700000</v>
      </c>
      <c r="H205" s="1">
        <v>210000</v>
      </c>
      <c r="I205" s="1">
        <v>12600000</v>
      </c>
      <c r="J205" s="1">
        <v>3900000</v>
      </c>
    </row>
    <row r="206" spans="1:10" x14ac:dyDescent="0.3">
      <c r="A206" s="2">
        <v>45862</v>
      </c>
      <c r="B206" t="s">
        <v>15</v>
      </c>
      <c r="C206" t="s">
        <v>22</v>
      </c>
      <c r="D206" t="s">
        <v>17</v>
      </c>
      <c r="E206" s="1">
        <v>60</v>
      </c>
      <c r="F206" s="1">
        <v>115000</v>
      </c>
      <c r="G206" s="1">
        <v>6900000</v>
      </c>
      <c r="H206" s="1">
        <v>225000</v>
      </c>
      <c r="I206" s="1">
        <v>13500000</v>
      </c>
      <c r="J206" s="1">
        <v>6600000</v>
      </c>
    </row>
    <row r="207" spans="1:10" x14ac:dyDescent="0.3">
      <c r="A207" s="2">
        <v>45863</v>
      </c>
      <c r="B207" t="s">
        <v>15</v>
      </c>
      <c r="C207" t="s">
        <v>22</v>
      </c>
      <c r="D207" t="s">
        <v>18</v>
      </c>
      <c r="E207" s="1">
        <v>70</v>
      </c>
      <c r="F207" s="1">
        <v>155000</v>
      </c>
      <c r="G207" s="1">
        <v>10850000</v>
      </c>
      <c r="H207" s="1">
        <v>210000</v>
      </c>
      <c r="I207" s="1">
        <v>14700000</v>
      </c>
      <c r="J207" s="1">
        <v>3850000</v>
      </c>
    </row>
    <row r="208" spans="1:10" x14ac:dyDescent="0.3">
      <c r="A208" s="2">
        <v>45864</v>
      </c>
      <c r="B208" t="s">
        <v>15</v>
      </c>
      <c r="C208" t="s">
        <v>22</v>
      </c>
      <c r="D208" t="s">
        <v>19</v>
      </c>
      <c r="E208" s="1">
        <v>50</v>
      </c>
      <c r="F208" s="1">
        <v>155000</v>
      </c>
      <c r="G208" s="1">
        <v>7750000</v>
      </c>
      <c r="H208" s="1">
        <v>210000</v>
      </c>
      <c r="I208" s="1">
        <v>10500000</v>
      </c>
      <c r="J208" s="1">
        <v>2750000</v>
      </c>
    </row>
    <row r="209" spans="1:10" x14ac:dyDescent="0.3">
      <c r="A209" s="2">
        <v>45865</v>
      </c>
      <c r="B209" t="s">
        <v>15</v>
      </c>
      <c r="C209" t="s">
        <v>22</v>
      </c>
      <c r="D209" t="s">
        <v>17</v>
      </c>
      <c r="E209" s="1">
        <v>50</v>
      </c>
      <c r="F209" s="1">
        <v>105000</v>
      </c>
      <c r="G209" s="1">
        <v>5250000</v>
      </c>
      <c r="H209" s="1">
        <v>225000</v>
      </c>
      <c r="I209" s="1">
        <v>11250000</v>
      </c>
      <c r="J209" s="1">
        <v>6000000</v>
      </c>
    </row>
    <row r="210" spans="1:10" x14ac:dyDescent="0.3">
      <c r="A210" s="2">
        <v>45866</v>
      </c>
      <c r="B210" t="s">
        <v>15</v>
      </c>
      <c r="C210" t="s">
        <v>23</v>
      </c>
      <c r="D210" t="s">
        <v>18</v>
      </c>
      <c r="E210" s="1">
        <v>80</v>
      </c>
      <c r="F210" s="1">
        <v>155000</v>
      </c>
      <c r="G210" s="1">
        <v>12400000</v>
      </c>
      <c r="H210" s="1">
        <v>210000</v>
      </c>
      <c r="I210" s="1">
        <v>16800000</v>
      </c>
      <c r="J210" s="1">
        <v>4400000</v>
      </c>
    </row>
    <row r="211" spans="1:10" x14ac:dyDescent="0.3">
      <c r="A211" s="2">
        <v>45867</v>
      </c>
      <c r="B211" t="s">
        <v>20</v>
      </c>
      <c r="C211" t="s">
        <v>23</v>
      </c>
      <c r="D211" t="s">
        <v>19</v>
      </c>
      <c r="E211" s="1">
        <v>70</v>
      </c>
      <c r="F211" s="1">
        <v>205000</v>
      </c>
      <c r="G211" s="1">
        <v>14350000</v>
      </c>
      <c r="H211" s="1">
        <v>210000</v>
      </c>
      <c r="I211" s="1">
        <v>14700000</v>
      </c>
      <c r="J211" s="1">
        <v>350000</v>
      </c>
    </row>
    <row r="212" spans="1:10" x14ac:dyDescent="0.3">
      <c r="A212" s="2">
        <v>45868</v>
      </c>
      <c r="B212" t="s">
        <v>21</v>
      </c>
      <c r="C212" t="s">
        <v>23</v>
      </c>
      <c r="D212" t="s">
        <v>17</v>
      </c>
      <c r="E212" s="1">
        <v>60</v>
      </c>
      <c r="F212" s="1">
        <v>195000</v>
      </c>
      <c r="G212" s="1">
        <v>11700000</v>
      </c>
      <c r="H212" s="1">
        <v>225000</v>
      </c>
      <c r="I212" s="1">
        <v>13500000</v>
      </c>
      <c r="J212" s="1">
        <v>1800000</v>
      </c>
    </row>
    <row r="213" spans="1:10" x14ac:dyDescent="0.3">
      <c r="A213" s="2">
        <v>45869</v>
      </c>
      <c r="B213" t="s">
        <v>21</v>
      </c>
      <c r="C213" t="s">
        <v>23</v>
      </c>
      <c r="D213" t="s">
        <v>18</v>
      </c>
      <c r="E213" s="1">
        <v>40</v>
      </c>
      <c r="F213" s="1">
        <v>125000</v>
      </c>
      <c r="G213" s="1">
        <v>5000000</v>
      </c>
      <c r="H213" s="1">
        <v>210000</v>
      </c>
      <c r="I213" s="1">
        <v>8400000</v>
      </c>
      <c r="J213" s="1">
        <v>3400000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Sheet2</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Huda Al Hakim</dc:creator>
  <cp:lastModifiedBy>lucky chairul fahsya</cp:lastModifiedBy>
  <dcterms:created xsi:type="dcterms:W3CDTF">2025-08-27T02:32:13Z</dcterms:created>
  <dcterms:modified xsi:type="dcterms:W3CDTF">2026-09-24T23:59:46Z</dcterms:modified>
</cp:coreProperties>
</file>